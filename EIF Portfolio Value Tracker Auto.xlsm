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duntoye/EIF Portfolio Value Tracker/VBA - EIF Portfolio Tracker/"/>
    </mc:Choice>
  </mc:AlternateContent>
  <xr:revisionPtr revIDLastSave="0" documentId="13_ncr:1_{6EC3FD12-015D-CA4A-81AE-840445BE32A6}" xr6:coauthVersionLast="45" xr6:coauthVersionMax="45" xr10:uidLastSave="{00000000-0000-0000-0000-000000000000}"/>
  <bookViews>
    <workbookView xWindow="0" yWindow="460" windowWidth="51200" windowHeight="26680" xr2:uid="{00000000-000D-0000-FFFF-FFFF00000000}"/>
  </bookViews>
  <sheets>
    <sheet name="Main_Page" sheetId="9" r:id="rId1"/>
    <sheet name="Statistics" sheetId="1" r:id="rId2"/>
    <sheet name="Value" sheetId="2" r:id="rId3"/>
    <sheet name="Prices" sheetId="3" r:id="rId4"/>
    <sheet name="Weight" sheetId="4" r:id="rId5"/>
    <sheet name="Valuation" sheetId="5" r:id="rId6"/>
    <sheet name="Communication Services" sheetId="6" r:id="rId7"/>
    <sheet name="Raw_Historical_Data" sheetId="8" r:id="rId8"/>
    <sheet name="Ticker_Symbols" sheetId="7" r:id="rId9"/>
    <sheet name="Quote_Sort" sheetId="12" r:id="rId10"/>
  </sheets>
  <definedNames>
    <definedName name="AAPL" localSheetId="7">Raw_Historical_Data!#REF!</definedName>
    <definedName name="AAPL_1" localSheetId="7">Raw_Historical_Data!#REF!</definedName>
    <definedName name="AAPL_10" localSheetId="7">Raw_Historical_Data!#REF!</definedName>
    <definedName name="AAPL_11" localSheetId="7">Raw_Historical_Data!#REF!</definedName>
    <definedName name="AAPL_12" localSheetId="7">Raw_Historical_Data!#REF!</definedName>
    <definedName name="AAPL_13" localSheetId="7">Raw_Historical_Data!#REF!</definedName>
    <definedName name="AAPL_14" localSheetId="7">Raw_Historical_Data!#REF!</definedName>
    <definedName name="AAPL_2" localSheetId="7">Raw_Historical_Data!#REF!</definedName>
    <definedName name="AAPL_3" localSheetId="7">Raw_Historical_Data!#REF!</definedName>
    <definedName name="AAPL_4" localSheetId="7">Raw_Historical_Data!#REF!</definedName>
    <definedName name="AAPL_5" localSheetId="7">Raw_Historical_Data!#REF!</definedName>
    <definedName name="AAPL_6" localSheetId="7">Raw_Historical_Data!#REF!</definedName>
    <definedName name="AAPL_7" localSheetId="7">Raw_Historical_Data!#REF!</definedName>
    <definedName name="AAPL_8" localSheetId="7">Raw_Historical_Data!#REF!</definedName>
    <definedName name="AAPL_9" localSheetId="7">Raw_Historical_Data!#REF!</definedName>
    <definedName name="ABT" localSheetId="7">Raw_Historical_Data!#REF!</definedName>
    <definedName name="ABT_1" localSheetId="7">Raw_Historical_Data!#REF!</definedName>
    <definedName name="ABT_10" localSheetId="7">Raw_Historical_Data!#REF!</definedName>
    <definedName name="ABT_11" localSheetId="7">Raw_Historical_Data!#REF!</definedName>
    <definedName name="ABT_12" localSheetId="7">Raw_Historical_Data!#REF!</definedName>
    <definedName name="ABT_13" localSheetId="7">Raw_Historical_Data!#REF!</definedName>
    <definedName name="ABT_14" localSheetId="7">Raw_Historical_Data!#REF!</definedName>
    <definedName name="ABT_2" localSheetId="7">Raw_Historical_Data!#REF!</definedName>
    <definedName name="ABT_3" localSheetId="7">Raw_Historical_Data!#REF!</definedName>
    <definedName name="ABT_4" localSheetId="7">Raw_Historical_Data!#REF!</definedName>
    <definedName name="ABT_5" localSheetId="7">Raw_Historical_Data!#REF!</definedName>
    <definedName name="ABT_6" localSheetId="7">Raw_Historical_Data!#REF!</definedName>
    <definedName name="ABT_7" localSheetId="7">Raw_Historical_Data!#REF!</definedName>
    <definedName name="ABT_8" localSheetId="7">Raw_Historical_Data!#REF!</definedName>
    <definedName name="ABT_9" localSheetId="7">Raw_Historical_Data!#REF!</definedName>
    <definedName name="AMZN" localSheetId="7">Raw_Historical_Data!#REF!</definedName>
    <definedName name="AMZN_1" localSheetId="7">Raw_Historical_Data!#REF!</definedName>
    <definedName name="AMZN_10" localSheetId="7">Raw_Historical_Data!#REF!</definedName>
    <definedName name="AMZN_12" localSheetId="7">Raw_Historical_Data!#REF!</definedName>
    <definedName name="AMZN_13" localSheetId="7">Raw_Historical_Data!#REF!</definedName>
    <definedName name="AMZN_14" localSheetId="7">Raw_Historical_Data!#REF!</definedName>
    <definedName name="AMZN_2" localSheetId="7">Raw_Historical_Data!#REF!</definedName>
    <definedName name="AMZN_3" localSheetId="7">Raw_Historical_Data!#REF!</definedName>
    <definedName name="AMZN_4" localSheetId="7">Raw_Historical_Data!#REF!</definedName>
    <definedName name="AMZN_5" localSheetId="7">Raw_Historical_Data!#REF!</definedName>
    <definedName name="AMZN_6" localSheetId="7">Raw_Historical_Data!#REF!</definedName>
    <definedName name="AMZN_7" localSheetId="7">Raw_Historical_Data!#REF!</definedName>
    <definedName name="AMZN_8" localSheetId="7">Raw_Historical_Data!#REF!</definedName>
    <definedName name="AMZN_9" localSheetId="7">Raw_Historical_Data!#REF!</definedName>
    <definedName name="APTS" localSheetId="7">Raw_Historical_Data!#REF!</definedName>
    <definedName name="APTS__1" localSheetId="7">Raw_Historical_Data!#REF!</definedName>
    <definedName name="APTS_1" localSheetId="7">Raw_Historical_Data!#REF!</definedName>
    <definedName name="APTS_2" localSheetId="7">Raw_Historical_Data!#REF!</definedName>
    <definedName name="APTS_3" localSheetId="7">Raw_Historical_Data!#REF!</definedName>
    <definedName name="ATVI" localSheetId="7">Raw_Historical_Data!#REF!</definedName>
    <definedName name="ATVI_1" localSheetId="7">Raw_Historical_Data!#REF!</definedName>
    <definedName name="ATVI_10" localSheetId="7">Raw_Historical_Data!#REF!</definedName>
    <definedName name="ATVI_12" localSheetId="7">Raw_Historical_Data!#REF!</definedName>
    <definedName name="ATVI_13" localSheetId="7">Raw_Historical_Data!#REF!</definedName>
    <definedName name="ATVI_14" localSheetId="7">Raw_Historical_Data!#REF!</definedName>
    <definedName name="ATVI_2" localSheetId="7">Raw_Historical_Data!#REF!</definedName>
    <definedName name="ATVI_3" localSheetId="7">Raw_Historical_Data!#REF!</definedName>
    <definedName name="ATVI_4" localSheetId="7">Raw_Historical_Data!#REF!</definedName>
    <definedName name="ATVI_5" localSheetId="7">Raw_Historical_Data!#REF!</definedName>
    <definedName name="ATVI_6" localSheetId="7">Raw_Historical_Data!#REF!</definedName>
    <definedName name="ATVI_7" localSheetId="7">Raw_Historical_Data!#REF!</definedName>
    <definedName name="ATVI_8" localSheetId="7">Raw_Historical_Data!#REF!</definedName>
    <definedName name="ATVI_9" localSheetId="7">Raw_Historical_Data!#REF!</definedName>
    <definedName name="BLK" localSheetId="7">Raw_Historical_Data!#REF!</definedName>
    <definedName name="BLK_1" localSheetId="7">Raw_Historical_Data!#REF!</definedName>
    <definedName name="BLK_10" localSheetId="7">Raw_Historical_Data!#REF!</definedName>
    <definedName name="BLK_11" localSheetId="7">Raw_Historical_Data!#REF!</definedName>
    <definedName name="BLK_12" localSheetId="7">Raw_Historical_Data!#REF!</definedName>
    <definedName name="BLK_13" localSheetId="7">Raw_Historical_Data!#REF!</definedName>
    <definedName name="BLK_14" localSheetId="7">Raw_Historical_Data!#REF!</definedName>
    <definedName name="BLK_2" localSheetId="7">Raw_Historical_Data!#REF!</definedName>
    <definedName name="BLK_3" localSheetId="7">Raw_Historical_Data!#REF!</definedName>
    <definedName name="BLK_4" localSheetId="7">Raw_Historical_Data!#REF!</definedName>
    <definedName name="BLK_5" localSheetId="7">Raw_Historical_Data!#REF!</definedName>
    <definedName name="BLK_6" localSheetId="7">Raw_Historical_Data!#REF!</definedName>
    <definedName name="BLK_7" localSheetId="7">Raw_Historical_Data!#REF!</definedName>
    <definedName name="BLK_8" localSheetId="7">Raw_Historical_Data!#REF!</definedName>
    <definedName name="BLK_9" localSheetId="7">Raw_Historical_Data!#REF!</definedName>
    <definedName name="BYND" localSheetId="7">Raw_Historical_Data!#REF!</definedName>
    <definedName name="BYND_1" localSheetId="7">Raw_Historical_Data!#REF!</definedName>
    <definedName name="BYND_10" localSheetId="7">Raw_Historical_Data!#REF!</definedName>
    <definedName name="BYND_12" localSheetId="7">Raw_Historical_Data!#REF!</definedName>
    <definedName name="BYND_13" localSheetId="7">Raw_Historical_Data!#REF!</definedName>
    <definedName name="BYND_14" localSheetId="7">Raw_Historical_Data!#REF!</definedName>
    <definedName name="BYND_2" localSheetId="7">Raw_Historical_Data!#REF!</definedName>
    <definedName name="BYND_3" localSheetId="7">Raw_Historical_Data!#REF!</definedName>
    <definedName name="BYND_4" localSheetId="7">Raw_Historical_Data!#REF!</definedName>
    <definedName name="BYND_5" localSheetId="7">Raw_Historical_Data!#REF!</definedName>
    <definedName name="BYND_6" localSheetId="7">Raw_Historical_Data!#REF!</definedName>
    <definedName name="BYND_7" localSheetId="7">Raw_Historical_Data!#REF!</definedName>
    <definedName name="BYND_8" localSheetId="7">Raw_Historical_Data!#REF!</definedName>
    <definedName name="BYND_9" localSheetId="7">Raw_Historical_Data!#REF!</definedName>
    <definedName name="CCI" localSheetId="7">Raw_Historical_Data!#REF!</definedName>
    <definedName name="CCI_1" localSheetId="7">Raw_Historical_Data!#REF!</definedName>
    <definedName name="CCI_10" localSheetId="7">Raw_Historical_Data!#REF!</definedName>
    <definedName name="CCI_11" localSheetId="7">Raw_Historical_Data!#REF!</definedName>
    <definedName name="CCI_12" localSheetId="7">Raw_Historical_Data!#REF!</definedName>
    <definedName name="CCI_13" localSheetId="7">Raw_Historical_Data!#REF!</definedName>
    <definedName name="CCI_14" localSheetId="7">Raw_Historical_Data!#REF!</definedName>
    <definedName name="CCI_2" localSheetId="7">Raw_Historical_Data!#REF!</definedName>
    <definedName name="CCI_3" localSheetId="7">Raw_Historical_Data!#REF!</definedName>
    <definedName name="CCI_4" localSheetId="7">Raw_Historical_Data!#REF!</definedName>
    <definedName name="CCI_5" localSheetId="7">Raw_Historical_Data!#REF!</definedName>
    <definedName name="CCI_6" localSheetId="7">Raw_Historical_Data!#REF!</definedName>
    <definedName name="CCI_7" localSheetId="7">Raw_Historical_Data!#REF!</definedName>
    <definedName name="CCI_8" localSheetId="7">Raw_Historical_Data!#REF!</definedName>
    <definedName name="CCI_9" localSheetId="7">Raw_Historical_Data!#REF!</definedName>
    <definedName name="CCK" localSheetId="7">Raw_Historical_Data!#REF!</definedName>
    <definedName name="CCK_1" localSheetId="7">Raw_Historical_Data!#REF!</definedName>
    <definedName name="CCK_10" localSheetId="7">Raw_Historical_Data!#REF!</definedName>
    <definedName name="CCK_11" localSheetId="7">Raw_Historical_Data!#REF!</definedName>
    <definedName name="CCK_12" localSheetId="7">Raw_Historical_Data!#REF!</definedName>
    <definedName name="CCK_13" localSheetId="7">Raw_Historical_Data!#REF!</definedName>
    <definedName name="CCK_14" localSheetId="7">Raw_Historical_Data!#REF!</definedName>
    <definedName name="CCK_2" localSheetId="7">Raw_Historical_Data!#REF!</definedName>
    <definedName name="CCK_3" localSheetId="7">Raw_Historical_Data!#REF!</definedName>
    <definedName name="CCK_4" localSheetId="7">Raw_Historical_Data!#REF!</definedName>
    <definedName name="CCK_5" localSheetId="7">Raw_Historical_Data!#REF!</definedName>
    <definedName name="CCK_6" localSheetId="7">Raw_Historical_Data!#REF!</definedName>
    <definedName name="CCK_7" localSheetId="7">Raw_Historical_Data!#REF!</definedName>
    <definedName name="CCK_8" localSheetId="7">Raw_Historical_Data!#REF!</definedName>
    <definedName name="CCK_9" localSheetId="7">Raw_Historical_Data!#REF!</definedName>
    <definedName name="CL" localSheetId="7">Raw_Historical_Data!#REF!</definedName>
    <definedName name="CL_1" localSheetId="7">Raw_Historical_Data!#REF!</definedName>
    <definedName name="CL_10" localSheetId="7">Raw_Historical_Data!#REF!</definedName>
    <definedName name="CL_12" localSheetId="7">Raw_Historical_Data!#REF!</definedName>
    <definedName name="CL_13" localSheetId="7">Raw_Historical_Data!#REF!</definedName>
    <definedName name="CL_14" localSheetId="7">Raw_Historical_Data!#REF!</definedName>
    <definedName name="CL_2" localSheetId="7">Raw_Historical_Data!#REF!</definedName>
    <definedName name="CL_3" localSheetId="7">Raw_Historical_Data!#REF!</definedName>
    <definedName name="CL_4" localSheetId="7">Raw_Historical_Data!#REF!</definedName>
    <definedName name="CL_5" localSheetId="7">Raw_Historical_Data!#REF!</definedName>
    <definedName name="CL_6" localSheetId="7">Raw_Historical_Data!#REF!</definedName>
    <definedName name="CL_7" localSheetId="7">Raw_Historical_Data!#REF!</definedName>
    <definedName name="CL_8" localSheetId="7">Raw_Historical_Data!#REF!</definedName>
    <definedName name="CL_9" localSheetId="7">Raw_Historical_Data!#REF!</definedName>
    <definedName name="COP" localSheetId="7">Raw_Historical_Data!#REF!</definedName>
    <definedName name="COP_1" localSheetId="7">Raw_Historical_Data!#REF!</definedName>
    <definedName name="COP_10" localSheetId="7">Raw_Historical_Data!#REF!</definedName>
    <definedName name="COP_12" localSheetId="7">Raw_Historical_Data!#REF!</definedName>
    <definedName name="COP_13" localSheetId="7">Raw_Historical_Data!#REF!</definedName>
    <definedName name="COP_14" localSheetId="7">Raw_Historical_Data!#REF!</definedName>
    <definedName name="COP_2" localSheetId="7">Raw_Historical_Data!#REF!</definedName>
    <definedName name="COP_3" localSheetId="7">Raw_Historical_Data!#REF!</definedName>
    <definedName name="COP_4" localSheetId="7">Raw_Historical_Data!#REF!</definedName>
    <definedName name="COP_5" localSheetId="7">Raw_Historical_Data!#REF!</definedName>
    <definedName name="COP_6" localSheetId="7">Raw_Historical_Data!#REF!</definedName>
    <definedName name="COP_7" localSheetId="7">Raw_Historical_Data!#REF!</definedName>
    <definedName name="COP_8" localSheetId="7">Raw_Historical_Data!#REF!</definedName>
    <definedName name="COP_9" localSheetId="7">Raw_Historical_Data!#REF!</definedName>
    <definedName name="DE" localSheetId="7">Raw_Historical_Data!#REF!</definedName>
    <definedName name="DE_1" localSheetId="7">Raw_Historical_Data!#REF!</definedName>
    <definedName name="DE_10" localSheetId="7">Raw_Historical_Data!#REF!</definedName>
    <definedName name="DE_11" localSheetId="7">Raw_Historical_Data!#REF!</definedName>
    <definedName name="DE_12" localSheetId="7">Raw_Historical_Data!#REF!</definedName>
    <definedName name="DE_13" localSheetId="7">Raw_Historical_Data!#REF!</definedName>
    <definedName name="DE_14" localSheetId="7">Raw_Historical_Data!#REF!</definedName>
    <definedName name="DE_2" localSheetId="7">Raw_Historical_Data!#REF!</definedName>
    <definedName name="DE_3" localSheetId="7">Raw_Historical_Data!#REF!</definedName>
    <definedName name="DE_4" localSheetId="7">Raw_Historical_Data!#REF!</definedName>
    <definedName name="DE_5" localSheetId="7">Raw_Historical_Data!#REF!</definedName>
    <definedName name="DE_6" localSheetId="7">Raw_Historical_Data!#REF!</definedName>
    <definedName name="DE_7" localSheetId="7">Raw_Historical_Data!#REF!</definedName>
    <definedName name="DE_8" localSheetId="7">Raw_Historical_Data!#REF!</definedName>
    <definedName name="DE_9" localSheetId="7">Raw_Historical_Data!#REF!</definedName>
    <definedName name="DIS" localSheetId="7">Raw_Historical_Data!#REF!</definedName>
    <definedName name="DIS_1" localSheetId="7">Raw_Historical_Data!#REF!</definedName>
    <definedName name="DIS_10" localSheetId="7">Raw_Historical_Data!#REF!</definedName>
    <definedName name="DIS_12" localSheetId="7">Raw_Historical_Data!#REF!</definedName>
    <definedName name="DIS_13" localSheetId="7">Raw_Historical_Data!#REF!</definedName>
    <definedName name="DIS_14" localSheetId="7">Raw_Historical_Data!#REF!</definedName>
    <definedName name="DIS_2" localSheetId="7">Raw_Historical_Data!#REF!</definedName>
    <definedName name="DIS_3" localSheetId="7">Raw_Historical_Data!#REF!</definedName>
    <definedName name="DIS_4" localSheetId="7">Raw_Historical_Data!#REF!</definedName>
    <definedName name="DIS_5" localSheetId="7">Raw_Historical_Data!#REF!</definedName>
    <definedName name="DIS_6" localSheetId="7">Raw_Historical_Data!#REF!</definedName>
    <definedName name="DIS_7" localSheetId="7">Raw_Historical_Data!#REF!</definedName>
    <definedName name="DIS_8" localSheetId="7">Raw_Historical_Data!#REF!</definedName>
    <definedName name="DIS_9" localSheetId="7">Raw_Historical_Data!#REF!</definedName>
    <definedName name="DUK" localSheetId="7">Raw_Historical_Data!#REF!</definedName>
    <definedName name="DUK_1" localSheetId="7">Raw_Historical_Data!#REF!</definedName>
    <definedName name="DUK_10" localSheetId="7">Raw_Historical_Data!#REF!</definedName>
    <definedName name="DUK_11" localSheetId="7">Raw_Historical_Data!#REF!</definedName>
    <definedName name="DUK_12" localSheetId="7">Raw_Historical_Data!#REF!</definedName>
    <definedName name="DUK_13" localSheetId="7">Raw_Historical_Data!#REF!</definedName>
    <definedName name="DUK_14" localSheetId="7">Raw_Historical_Data!#REF!</definedName>
    <definedName name="DUK_2" localSheetId="7">Raw_Historical_Data!#REF!</definedName>
    <definedName name="DUK_3" localSheetId="7">Raw_Historical_Data!#REF!</definedName>
    <definedName name="DUK_4" localSheetId="7">Raw_Historical_Data!#REF!</definedName>
    <definedName name="DUK_5" localSheetId="7">Raw_Historical_Data!#REF!</definedName>
    <definedName name="DUK_6" localSheetId="7">Raw_Historical_Data!#REF!</definedName>
    <definedName name="DUK_7" localSheetId="7">Raw_Historical_Data!#REF!</definedName>
    <definedName name="DUK_8" localSheetId="7">Raw_Historical_Data!#REF!</definedName>
    <definedName name="DUK_9" localSheetId="7">Raw_Historical_Data!#REF!</definedName>
    <definedName name="EOG" localSheetId="7">Raw_Historical_Data!#REF!</definedName>
    <definedName name="EOG_1" localSheetId="7">Raw_Historical_Data!#REF!</definedName>
    <definedName name="EOG_10" localSheetId="7">Raw_Historical_Data!#REF!</definedName>
    <definedName name="EOG_12" localSheetId="7">Raw_Historical_Data!#REF!</definedName>
    <definedName name="EOG_13" localSheetId="7">Raw_Historical_Data!#REF!</definedName>
    <definedName name="EOG_14" localSheetId="7">Raw_Historical_Data!#REF!</definedName>
    <definedName name="EOG_2" localSheetId="7">Raw_Historical_Data!#REF!</definedName>
    <definedName name="EOG_3" localSheetId="7">Raw_Historical_Data!#REF!</definedName>
    <definedName name="EOG_4" localSheetId="7">Raw_Historical_Data!#REF!</definedName>
    <definedName name="EOG_5" localSheetId="7">Raw_Historical_Data!#REF!</definedName>
    <definedName name="EOG_6" localSheetId="7">Raw_Historical_Data!#REF!</definedName>
    <definedName name="EOG_7" localSheetId="7">Raw_Historical_Data!#REF!</definedName>
    <definedName name="EOG_8" localSheetId="7">Raw_Historical_Data!#REF!</definedName>
    <definedName name="EOG_9" localSheetId="7">Raw_Historical_Data!#REF!</definedName>
    <definedName name="FB" localSheetId="7">Raw_Historical_Data!#REF!</definedName>
    <definedName name="FB_1" localSheetId="7">Raw_Historical_Data!#REF!</definedName>
    <definedName name="FB_10" localSheetId="7">Raw_Historical_Data!#REF!</definedName>
    <definedName name="FB_11" localSheetId="7">Raw_Historical_Data!#REF!</definedName>
    <definedName name="FB_13" localSheetId="7">Raw_Historical_Data!#REF!</definedName>
    <definedName name="FB_14" localSheetId="7">Raw_Historical_Data!#REF!</definedName>
    <definedName name="FB_15" localSheetId="7">Raw_Historical_Data!#REF!</definedName>
    <definedName name="FB_2" localSheetId="7">Raw_Historical_Data!#REF!</definedName>
    <definedName name="FB_3" localSheetId="7">Raw_Historical_Data!#REF!</definedName>
    <definedName name="FB_4" localSheetId="7">Raw_Historical_Data!#REF!</definedName>
    <definedName name="FB_5" localSheetId="7">Raw_Historical_Data!#REF!</definedName>
    <definedName name="FB_6" localSheetId="7">Raw_Historical_Data!#REF!</definedName>
    <definedName name="FB_7" localSheetId="7">Raw_Historical_Data!#REF!</definedName>
    <definedName name="FB_8" localSheetId="7">Raw_Historical_Data!#REF!</definedName>
    <definedName name="FB_9" localSheetId="7">Raw_Historical_Data!#REF!</definedName>
    <definedName name="G" localSheetId="7">Raw_Historical_Data!#REF!</definedName>
    <definedName name="G_1" localSheetId="7">Raw_Historical_Data!#REF!</definedName>
    <definedName name="G_10" localSheetId="7">Raw_Historical_Data!#REF!</definedName>
    <definedName name="G_11" localSheetId="7">Raw_Historical_Data!#REF!</definedName>
    <definedName name="G_12" localSheetId="7">Raw_Historical_Data!#REF!</definedName>
    <definedName name="G_13" localSheetId="7">Raw_Historical_Data!#REF!</definedName>
    <definedName name="G_14" localSheetId="7">Raw_Historical_Data!#REF!</definedName>
    <definedName name="G_2" localSheetId="7">Raw_Historical_Data!#REF!</definedName>
    <definedName name="G_3" localSheetId="7">Raw_Historical_Data!#REF!</definedName>
    <definedName name="G_4" localSheetId="7">Raw_Historical_Data!#REF!</definedName>
    <definedName name="G_5" localSheetId="7">Raw_Historical_Data!#REF!</definedName>
    <definedName name="G_6" localSheetId="7">Raw_Historical_Data!#REF!</definedName>
    <definedName name="G_7" localSheetId="7">Raw_Historical_Data!#REF!</definedName>
    <definedName name="G_8" localSheetId="7">Raw_Historical_Data!#REF!</definedName>
    <definedName name="G_9" localSheetId="7">Raw_Historical_Data!#REF!</definedName>
    <definedName name="GIS" localSheetId="7">Raw_Historical_Data!#REF!</definedName>
    <definedName name="GIS_1" localSheetId="7">Raw_Historical_Data!#REF!</definedName>
    <definedName name="GIS_10" localSheetId="7">Raw_Historical_Data!#REF!</definedName>
    <definedName name="GIS_12" localSheetId="7">Raw_Historical_Data!#REF!</definedName>
    <definedName name="GIS_13" localSheetId="7">Raw_Historical_Data!#REF!</definedName>
    <definedName name="GIS_14" localSheetId="7">Raw_Historical_Data!#REF!</definedName>
    <definedName name="GIS_2" localSheetId="7">Raw_Historical_Data!#REF!</definedName>
    <definedName name="GIS_3" localSheetId="7">Raw_Historical_Data!#REF!</definedName>
    <definedName name="GIS_4" localSheetId="7">Raw_Historical_Data!#REF!</definedName>
    <definedName name="GIS_5" localSheetId="7">Raw_Historical_Data!#REF!</definedName>
    <definedName name="GIS_6" localSheetId="7">Raw_Historical_Data!#REF!</definedName>
    <definedName name="GIS_7" localSheetId="7">Raw_Historical_Data!#REF!</definedName>
    <definedName name="GIS_8" localSheetId="7">Raw_Historical_Data!#REF!</definedName>
    <definedName name="GIS_9" localSheetId="7">Raw_Historical_Data!#REF!</definedName>
    <definedName name="GOLD" localSheetId="7">Raw_Historical_Data!#REF!</definedName>
    <definedName name="GOLD_1" localSheetId="7">Raw_Historical_Data!#REF!</definedName>
    <definedName name="GOLD_10" localSheetId="7">Raw_Historical_Data!#REF!</definedName>
    <definedName name="GOLD_11" localSheetId="7">Raw_Historical_Data!#REF!</definedName>
    <definedName name="GOLD_12" localSheetId="7">Raw_Historical_Data!#REF!</definedName>
    <definedName name="GOLD_13" localSheetId="7">Raw_Historical_Data!#REF!</definedName>
    <definedName name="GOLD_14" localSheetId="7">Raw_Historical_Data!#REF!</definedName>
    <definedName name="GOLD_2" localSheetId="7">Raw_Historical_Data!#REF!</definedName>
    <definedName name="GOLD_3" localSheetId="7">Raw_Historical_Data!#REF!</definedName>
    <definedName name="GOLD_4" localSheetId="7">Raw_Historical_Data!#REF!</definedName>
    <definedName name="GOLD_5" localSheetId="7">Raw_Historical_Data!#REF!</definedName>
    <definedName name="GOLD_6" localSheetId="7">Raw_Historical_Data!#REF!</definedName>
    <definedName name="GOLD_7" localSheetId="7">Raw_Historical_Data!#REF!</definedName>
    <definedName name="GOLD_8" localSheetId="7">Raw_Historical_Data!#REF!</definedName>
    <definedName name="GOLD_9" localSheetId="7">Raw_Historical_Data!#REF!</definedName>
    <definedName name="GOOGL" localSheetId="7">Raw_Historical_Data!#REF!</definedName>
    <definedName name="GOOGL_1" localSheetId="7">Raw_Historical_Data!#REF!</definedName>
    <definedName name="GOOGL_10" localSheetId="7">Raw_Historical_Data!#REF!</definedName>
    <definedName name="GOOGL_12" localSheetId="7">Raw_Historical_Data!#REF!</definedName>
    <definedName name="GOOGL_13" localSheetId="7">Raw_Historical_Data!#REF!</definedName>
    <definedName name="GOOGL_14" localSheetId="7">Raw_Historical_Data!#REF!</definedName>
    <definedName name="GOOGL_2" localSheetId="7">Raw_Historical_Data!#REF!</definedName>
    <definedName name="GOOGL_3" localSheetId="7">Raw_Historical_Data!#REF!</definedName>
    <definedName name="GOOGL_4" localSheetId="7">Raw_Historical_Data!#REF!</definedName>
    <definedName name="GOOGL_5" localSheetId="7">Raw_Historical_Data!#REF!</definedName>
    <definedName name="GOOGL_6" localSheetId="7">Raw_Historical_Data!#REF!</definedName>
    <definedName name="GOOGL_7" localSheetId="7">Raw_Historical_Data!#REF!</definedName>
    <definedName name="GOOGL_8" localSheetId="7">Raw_Historical_Data!#REF!</definedName>
    <definedName name="GOOGL_9" localSheetId="7">Raw_Historical_Data!#REF!</definedName>
    <definedName name="GS" localSheetId="7">Raw_Historical_Data!#REF!</definedName>
    <definedName name="GS_1" localSheetId="7">Raw_Historical_Data!#REF!</definedName>
    <definedName name="GS_10" localSheetId="7">Raw_Historical_Data!#REF!</definedName>
    <definedName name="GS_11" localSheetId="7">Raw_Historical_Data!#REF!</definedName>
    <definedName name="GS_12" localSheetId="7">Raw_Historical_Data!#REF!</definedName>
    <definedName name="GS_13" localSheetId="7">Raw_Historical_Data!#REF!</definedName>
    <definedName name="GS_14" localSheetId="7">Raw_Historical_Data!#REF!</definedName>
    <definedName name="GS_2" localSheetId="7">Raw_Historical_Data!#REF!</definedName>
    <definedName name="GS_3" localSheetId="7">Raw_Historical_Data!#REF!</definedName>
    <definedName name="GS_4" localSheetId="7">Raw_Historical_Data!#REF!</definedName>
    <definedName name="GS_5" localSheetId="7">Raw_Historical_Data!#REF!</definedName>
    <definedName name="GS_6" localSheetId="7">Raw_Historical_Data!#REF!</definedName>
    <definedName name="GS_7" localSheetId="7">Raw_Historical_Data!#REF!</definedName>
    <definedName name="GS_8" localSheetId="7">Raw_Historical_Data!#REF!</definedName>
    <definedName name="GS_9" localSheetId="7">Raw_Historical_Data!#REF!</definedName>
    <definedName name="HD" localSheetId="7">Raw_Historical_Data!#REF!</definedName>
    <definedName name="HD_1" localSheetId="7">Raw_Historical_Data!#REF!</definedName>
    <definedName name="HD_10" localSheetId="7">Raw_Historical_Data!#REF!</definedName>
    <definedName name="HD_12" localSheetId="7">Raw_Historical_Data!#REF!</definedName>
    <definedName name="HD_13" localSheetId="7">Raw_Historical_Data!#REF!</definedName>
    <definedName name="HD_14" localSheetId="7">Raw_Historical_Data!#REF!</definedName>
    <definedName name="HD_2" localSheetId="7">Raw_Historical_Data!#REF!</definedName>
    <definedName name="HD_3" localSheetId="7">Raw_Historical_Data!#REF!</definedName>
    <definedName name="HD_4" localSheetId="7">Raw_Historical_Data!#REF!</definedName>
    <definedName name="HD_5" localSheetId="7">Raw_Historical_Data!#REF!</definedName>
    <definedName name="HD_6" localSheetId="7">Raw_Historical_Data!#REF!</definedName>
    <definedName name="HD_7" localSheetId="7">Raw_Historical_Data!#REF!</definedName>
    <definedName name="HD_8" localSheetId="7">Raw_Historical_Data!#REF!</definedName>
    <definedName name="HD_9" localSheetId="7">Raw_Historical_Data!#REF!</definedName>
    <definedName name="HLT" localSheetId="7">Raw_Historical_Data!#REF!</definedName>
    <definedName name="HLT_1" localSheetId="7">Raw_Historical_Data!#REF!</definedName>
    <definedName name="HLT_10" localSheetId="7">Raw_Historical_Data!#REF!</definedName>
    <definedName name="HLT_12" localSheetId="7">Raw_Historical_Data!#REF!</definedName>
    <definedName name="HLT_13" localSheetId="7">Raw_Historical_Data!#REF!</definedName>
    <definedName name="HLT_14" localSheetId="7">Raw_Historical_Data!#REF!</definedName>
    <definedName name="HLT_2" localSheetId="7">Raw_Historical_Data!#REF!</definedName>
    <definedName name="HLT_3" localSheetId="7">Raw_Historical_Data!#REF!</definedName>
    <definedName name="HLT_4" localSheetId="7">Raw_Historical_Data!#REF!</definedName>
    <definedName name="HLT_5" localSheetId="7">Raw_Historical_Data!#REF!</definedName>
    <definedName name="HLT_6" localSheetId="7">Raw_Historical_Data!#REF!</definedName>
    <definedName name="HLT_7" localSheetId="7">Raw_Historical_Data!#REF!</definedName>
    <definedName name="HLT_8" localSheetId="7">Raw_Historical_Data!#REF!</definedName>
    <definedName name="HLT_9" localSheetId="7">Raw_Historical_Data!#REF!</definedName>
    <definedName name="IOSP" localSheetId="7">Raw_Historical_Data!#REF!</definedName>
    <definedName name="IOSP_1" localSheetId="7">Raw_Historical_Data!#REF!</definedName>
    <definedName name="IOSP_10" localSheetId="7">Raw_Historical_Data!#REF!</definedName>
    <definedName name="IOSP_11" localSheetId="7">Raw_Historical_Data!#REF!</definedName>
    <definedName name="IOSP_12" localSheetId="7">Raw_Historical_Data!#REF!</definedName>
    <definedName name="IOSP_13" localSheetId="7">Raw_Historical_Data!#REF!</definedName>
    <definedName name="IOSP_14" localSheetId="7">Raw_Historical_Data!#REF!</definedName>
    <definedName name="IOSP_2" localSheetId="7">Raw_Historical_Data!#REF!</definedName>
    <definedName name="IOSP_3" localSheetId="7">Raw_Historical_Data!#REF!</definedName>
    <definedName name="IOSP_4" localSheetId="7">Raw_Historical_Data!#REF!</definedName>
    <definedName name="IOSP_5" localSheetId="7">Raw_Historical_Data!#REF!</definedName>
    <definedName name="IOSP_6" localSheetId="7">Raw_Historical_Data!#REF!</definedName>
    <definedName name="IOSP_7" localSheetId="7">Raw_Historical_Data!#REF!</definedName>
    <definedName name="IOSP_8" localSheetId="7">Raw_Historical_Data!#REF!</definedName>
    <definedName name="IOSP_9" localSheetId="7">Raw_Historical_Data!#REF!</definedName>
    <definedName name="JPM" localSheetId="7">Raw_Historical_Data!#REF!</definedName>
    <definedName name="JPM_1" localSheetId="7">Raw_Historical_Data!#REF!</definedName>
    <definedName name="JPM_10" localSheetId="7">Raw_Historical_Data!#REF!</definedName>
    <definedName name="JPM_11" localSheetId="7">Raw_Historical_Data!#REF!</definedName>
    <definedName name="JPM_12" localSheetId="7">Raw_Historical_Data!#REF!</definedName>
    <definedName name="JPM_13" localSheetId="7">Raw_Historical_Data!#REF!</definedName>
    <definedName name="JPM_14" localSheetId="7">Raw_Historical_Data!#REF!</definedName>
    <definedName name="JPM_2" localSheetId="7">Raw_Historical_Data!#REF!</definedName>
    <definedName name="JPM_3" localSheetId="7">Raw_Historical_Data!#REF!</definedName>
    <definedName name="JPM_4" localSheetId="7">Raw_Historical_Data!#REF!</definedName>
    <definedName name="JPM_5" localSheetId="7">Raw_Historical_Data!#REF!</definedName>
    <definedName name="JPM_6" localSheetId="7">Raw_Historical_Data!#REF!</definedName>
    <definedName name="JPM_7" localSheetId="7">Raw_Historical_Data!#REF!</definedName>
    <definedName name="JPM_8" localSheetId="7">Raw_Historical_Data!#REF!</definedName>
    <definedName name="JPM_9" localSheetId="7">Raw_Historical_Data!#REF!</definedName>
    <definedName name="LMT" localSheetId="7">Raw_Historical_Data!#REF!</definedName>
    <definedName name="LMT_1" localSheetId="7">Raw_Historical_Data!#REF!</definedName>
    <definedName name="LMT_10" localSheetId="7">Raw_Historical_Data!#REF!</definedName>
    <definedName name="LMT_11" localSheetId="7">Raw_Historical_Data!#REF!</definedName>
    <definedName name="LMT_12" localSheetId="7">Raw_Historical_Data!#REF!</definedName>
    <definedName name="LMT_13" localSheetId="7">Raw_Historical_Data!#REF!</definedName>
    <definedName name="LMT_14" localSheetId="7">Raw_Historical_Data!#REF!</definedName>
    <definedName name="LMT_2" localSheetId="7">Raw_Historical_Data!#REF!</definedName>
    <definedName name="LMT_3" localSheetId="7">Raw_Historical_Data!#REF!</definedName>
    <definedName name="LMT_4" localSheetId="7">Raw_Historical_Data!#REF!</definedName>
    <definedName name="LMT_5" localSheetId="7">Raw_Historical_Data!#REF!</definedName>
    <definedName name="LMT_6" localSheetId="7">Raw_Historical_Data!#REF!</definedName>
    <definedName name="LMT_7" localSheetId="7">Raw_Historical_Data!#REF!</definedName>
    <definedName name="LMT_8" localSheetId="7">Raw_Historical_Data!#REF!</definedName>
    <definedName name="LMT_9" localSheetId="7">Raw_Historical_Data!#REF!</definedName>
    <definedName name="MCD" localSheetId="7">Raw_Historical_Data!#REF!</definedName>
    <definedName name="MCD_1" localSheetId="7">Raw_Historical_Data!#REF!</definedName>
    <definedName name="MCD_10" localSheetId="7">Raw_Historical_Data!#REF!</definedName>
    <definedName name="MCD_12" localSheetId="7">Raw_Historical_Data!#REF!</definedName>
    <definedName name="MCD_13" localSheetId="7">Raw_Historical_Data!#REF!</definedName>
    <definedName name="MCD_14" localSheetId="7">Raw_Historical_Data!#REF!</definedName>
    <definedName name="MCD_2" localSheetId="7">Raw_Historical_Data!#REF!</definedName>
    <definedName name="MCD_3" localSheetId="7">Raw_Historical_Data!#REF!</definedName>
    <definedName name="MCD_4" localSheetId="7">Raw_Historical_Data!#REF!</definedName>
    <definedName name="MCD_5" localSheetId="7">Raw_Historical_Data!#REF!</definedName>
    <definedName name="MCD_6" localSheetId="7">Raw_Historical_Data!#REF!</definedName>
    <definedName name="MCD_7" localSheetId="7">Raw_Historical_Data!#REF!</definedName>
    <definedName name="MCD_8" localSheetId="7">Raw_Historical_Data!#REF!</definedName>
    <definedName name="MCD_9" localSheetId="7">Raw_Historical_Data!#REF!</definedName>
    <definedName name="MEDP" localSheetId="7">Raw_Historical_Data!#REF!</definedName>
    <definedName name="MEDP_1" localSheetId="7">Raw_Historical_Data!#REF!</definedName>
    <definedName name="MEDP_10" localSheetId="7">Raw_Historical_Data!#REF!</definedName>
    <definedName name="MEDP_11" localSheetId="7">Raw_Historical_Data!#REF!</definedName>
    <definedName name="MEDP_12" localSheetId="7">Raw_Historical_Data!#REF!</definedName>
    <definedName name="MEDP_13" localSheetId="7">Raw_Historical_Data!#REF!</definedName>
    <definedName name="MEDP_14" localSheetId="7">Raw_Historical_Data!#REF!</definedName>
    <definedName name="MEDP_2" localSheetId="7">Raw_Historical_Data!#REF!</definedName>
    <definedName name="MEDP_3" localSheetId="7">Raw_Historical_Data!#REF!</definedName>
    <definedName name="MEDP_4" localSheetId="7">Raw_Historical_Data!#REF!</definedName>
    <definedName name="MEDP_5" localSheetId="7">Raw_Historical_Data!#REF!</definedName>
    <definedName name="MEDP_6" localSheetId="7">Raw_Historical_Data!#REF!</definedName>
    <definedName name="MEDP_7" localSheetId="7">Raw_Historical_Data!#REF!</definedName>
    <definedName name="MEDP_8" localSheetId="7">Raw_Historical_Data!#REF!</definedName>
    <definedName name="MEDP_9" localSheetId="7">Raw_Historical_Data!#REF!</definedName>
    <definedName name="MLM" localSheetId="7">Raw_Historical_Data!#REF!</definedName>
    <definedName name="MLM_1" localSheetId="7">Raw_Historical_Data!#REF!</definedName>
    <definedName name="MLM_10" localSheetId="7">Raw_Historical_Data!#REF!</definedName>
    <definedName name="MLM_11" localSheetId="7">Raw_Historical_Data!#REF!</definedName>
    <definedName name="MLM_12" localSheetId="7">Raw_Historical_Data!#REF!</definedName>
    <definedName name="MLM_13" localSheetId="7">Raw_Historical_Data!#REF!</definedName>
    <definedName name="MLM_14" localSheetId="7">Raw_Historical_Data!#REF!</definedName>
    <definedName name="MLM_2" localSheetId="7">Raw_Historical_Data!#REF!</definedName>
    <definedName name="MLM_3" localSheetId="7">Raw_Historical_Data!#REF!</definedName>
    <definedName name="MLM_4" localSheetId="7">Raw_Historical_Data!#REF!</definedName>
    <definedName name="MLM_5" localSheetId="7">Raw_Historical_Data!#REF!</definedName>
    <definedName name="MLM_6" localSheetId="7">Raw_Historical_Data!#REF!</definedName>
    <definedName name="MLM_7" localSheetId="7">Raw_Historical_Data!#REF!</definedName>
    <definedName name="MLM_8" localSheetId="7">Raw_Historical_Data!#REF!</definedName>
    <definedName name="MLM_9" localSheetId="7">Raw_Historical_Data!#REF!</definedName>
    <definedName name="MMC" localSheetId="7">Raw_Historical_Data!#REF!</definedName>
    <definedName name="MMC__1" localSheetId="7">Raw_Historical_Data!#REF!</definedName>
    <definedName name="MMC_1" localSheetId="7">Raw_Historical_Data!#REF!</definedName>
    <definedName name="MMC_2" localSheetId="7">Raw_Historical_Data!#REF!</definedName>
    <definedName name="MMC_3" localSheetId="7">Raw_Historical_Data!#REF!</definedName>
    <definedName name="MPW" localSheetId="7">Raw_Historical_Data!#REF!</definedName>
    <definedName name="MPW__10" localSheetId="7">Raw_Historical_Data!#REF!</definedName>
    <definedName name="MPW__11" localSheetId="7">Raw_Historical_Data!#REF!</definedName>
    <definedName name="MPW__9" localSheetId="7">Raw_Historical_Data!#REF!</definedName>
    <definedName name="MPW_1" localSheetId="7">Raw_Historical_Data!#REF!</definedName>
    <definedName name="MPW_10" localSheetId="7">Raw_Historical_Data!#REF!</definedName>
    <definedName name="MPW_11" localSheetId="7">Raw_Historical_Data!#REF!</definedName>
    <definedName name="MPW_2" localSheetId="7">Raw_Historical_Data!#REF!</definedName>
    <definedName name="MPW_3" localSheetId="7">Raw_Historical_Data!#REF!</definedName>
    <definedName name="MPW_4" localSheetId="7">Raw_Historical_Data!#REF!</definedName>
    <definedName name="MPW_5" localSheetId="7">Raw_Historical_Data!#REF!</definedName>
    <definedName name="MPW_6" localSheetId="7">Raw_Historical_Data!#REF!</definedName>
    <definedName name="MPW_7" localSheetId="7">Raw_Historical_Data!#REF!</definedName>
    <definedName name="MPW_8" localSheetId="7">Raw_Historical_Data!#REF!</definedName>
    <definedName name="MPW_9" localSheetId="7">Raw_Historical_Data!#REF!</definedName>
    <definedName name="MRK" localSheetId="7">Raw_Historical_Data!#REF!</definedName>
    <definedName name="MRK_1" localSheetId="7">Raw_Historical_Data!#REF!</definedName>
    <definedName name="MRK_10" localSheetId="7">Raw_Historical_Data!#REF!</definedName>
    <definedName name="MRK_11" localSheetId="7">Raw_Historical_Data!#REF!</definedName>
    <definedName name="MRK_12" localSheetId="7">Raw_Historical_Data!#REF!</definedName>
    <definedName name="MRK_13" localSheetId="7">Raw_Historical_Data!#REF!</definedName>
    <definedName name="MRK_14" localSheetId="7">Raw_Historical_Data!#REF!</definedName>
    <definedName name="MRK_2" localSheetId="7">Raw_Historical_Data!#REF!</definedName>
    <definedName name="MRK_3" localSheetId="7">Raw_Historical_Data!#REF!</definedName>
    <definedName name="MRK_4" localSheetId="7">Raw_Historical_Data!#REF!</definedName>
    <definedName name="MRK_5" localSheetId="7">Raw_Historical_Data!#REF!</definedName>
    <definedName name="MRK_6" localSheetId="7">Raw_Historical_Data!#REF!</definedName>
    <definedName name="MRK_7" localSheetId="7">Raw_Historical_Data!#REF!</definedName>
    <definedName name="MRK_8" localSheetId="7">Raw_Historical_Data!#REF!</definedName>
    <definedName name="MRK_9" localSheetId="7">Raw_Historical_Data!#REF!</definedName>
    <definedName name="MSFT" localSheetId="7">Raw_Historical_Data!#REF!</definedName>
    <definedName name="MSFT_1" localSheetId="7">Raw_Historical_Data!#REF!</definedName>
    <definedName name="MSFT_10" localSheetId="7">Raw_Historical_Data!#REF!</definedName>
    <definedName name="MSFT_11" localSheetId="7">Raw_Historical_Data!#REF!</definedName>
    <definedName name="MSFT_12" localSheetId="7">Raw_Historical_Data!#REF!</definedName>
    <definedName name="MSFT_13" localSheetId="7">Raw_Historical_Data!#REF!</definedName>
    <definedName name="MSFT_14" localSheetId="7">Raw_Historical_Data!#REF!</definedName>
    <definedName name="MSFT_2" localSheetId="7">Raw_Historical_Data!#REF!</definedName>
    <definedName name="MSFT_3" localSheetId="7">Raw_Historical_Data!#REF!</definedName>
    <definedName name="MSFT_4" localSheetId="7">Raw_Historical_Data!#REF!</definedName>
    <definedName name="MSFT_5" localSheetId="7">Raw_Historical_Data!#REF!</definedName>
    <definedName name="MSFT_6" localSheetId="7">Raw_Historical_Data!#REF!</definedName>
    <definedName name="MSFT_7" localSheetId="7">Raw_Historical_Data!#REF!</definedName>
    <definedName name="MSFT_8" localSheetId="7">Raw_Historical_Data!#REF!</definedName>
    <definedName name="MSFT_9" localSheetId="7">Raw_Historical_Data!#REF!</definedName>
    <definedName name="MTCH" localSheetId="7">Raw_Historical_Data!#REF!</definedName>
    <definedName name="MTCH_1" localSheetId="7">Raw_Historical_Data!#REF!</definedName>
    <definedName name="MTCH_10" localSheetId="7">Raw_Historical_Data!#REF!</definedName>
    <definedName name="MTCH_12" localSheetId="7">Raw_Historical_Data!#REF!</definedName>
    <definedName name="MTCH_13" localSheetId="7">Raw_Historical_Data!#REF!</definedName>
    <definedName name="MTCH_14" localSheetId="7">Raw_Historical_Data!#REF!</definedName>
    <definedName name="MTCH_2" localSheetId="7">Raw_Historical_Data!#REF!</definedName>
    <definedName name="MTCH_3" localSheetId="7">Raw_Historical_Data!#REF!</definedName>
    <definedName name="MTCH_4" localSheetId="7">Raw_Historical_Data!#REF!</definedName>
    <definedName name="MTCH_5" localSheetId="7">Raw_Historical_Data!#REF!</definedName>
    <definedName name="MTCH_6" localSheetId="7">Raw_Historical_Data!#REF!</definedName>
    <definedName name="MTCH_7" localSheetId="7">Raw_Historical_Data!#REF!</definedName>
    <definedName name="MTCH_8" localSheetId="7">Raw_Historical_Data!#REF!</definedName>
    <definedName name="MTCH_9" localSheetId="7">Raw_Historical_Data!#REF!</definedName>
    <definedName name="NEE" localSheetId="7">Raw_Historical_Data!#REF!</definedName>
    <definedName name="NEE__10" localSheetId="7">Raw_Historical_Data!#REF!</definedName>
    <definedName name="NEE__11" localSheetId="7">Raw_Historical_Data!#REF!</definedName>
    <definedName name="NEE__9" localSheetId="7">Raw_Historical_Data!#REF!</definedName>
    <definedName name="NEE_1" localSheetId="7">Raw_Historical_Data!#REF!</definedName>
    <definedName name="NEE_10" localSheetId="7">Raw_Historical_Data!#REF!</definedName>
    <definedName name="NEE_11" localSheetId="7">Raw_Historical_Data!#REF!</definedName>
    <definedName name="NEE_2" localSheetId="7">Raw_Historical_Data!#REF!</definedName>
    <definedName name="NEE_3" localSheetId="7">Raw_Historical_Data!#REF!</definedName>
    <definedName name="NEE_4" localSheetId="7">Raw_Historical_Data!#REF!</definedName>
    <definedName name="NEE_5" localSheetId="7">Raw_Historical_Data!#REF!</definedName>
    <definedName name="NEE_6" localSheetId="7">Raw_Historical_Data!#REF!</definedName>
    <definedName name="NEE_7" localSheetId="7">Raw_Historical_Data!#REF!</definedName>
    <definedName name="NEE_8" localSheetId="7">Raw_Historical_Data!#REF!</definedName>
    <definedName name="NEE_9" localSheetId="7">Raw_Historical_Data!#REF!</definedName>
    <definedName name="NGG" localSheetId="7">Raw_Historical_Data!#REF!</definedName>
    <definedName name="NGG_1" localSheetId="7">Raw_Historical_Data!#REF!</definedName>
    <definedName name="NGG_10" localSheetId="7">Raw_Historical_Data!#REF!</definedName>
    <definedName name="NGG_11" localSheetId="7">Raw_Historical_Data!#REF!</definedName>
    <definedName name="NGG_12" localSheetId="7">Raw_Historical_Data!#REF!</definedName>
    <definedName name="NGG_13" localSheetId="7">Raw_Historical_Data!#REF!</definedName>
    <definedName name="NGG_14" localSheetId="7">Raw_Historical_Data!#REF!</definedName>
    <definedName name="NGG_2" localSheetId="7">Raw_Historical_Data!#REF!</definedName>
    <definedName name="NGG_3" localSheetId="7">Raw_Historical_Data!#REF!</definedName>
    <definedName name="NGG_4" localSheetId="7">Raw_Historical_Data!#REF!</definedName>
    <definedName name="NGG_5" localSheetId="7">Raw_Historical_Data!#REF!</definedName>
    <definedName name="NGG_6" localSheetId="7">Raw_Historical_Data!#REF!</definedName>
    <definedName name="NGG_7" localSheetId="7">Raw_Historical_Data!#REF!</definedName>
    <definedName name="NGG_8" localSheetId="7">Raw_Historical_Data!#REF!</definedName>
    <definedName name="NGG_9" localSheetId="7">Raw_Historical_Data!#REF!</definedName>
    <definedName name="NKE" localSheetId="7">Raw_Historical_Data!#REF!</definedName>
    <definedName name="NKE_1" localSheetId="7">Raw_Historical_Data!#REF!</definedName>
    <definedName name="NKE_10" localSheetId="7">Raw_Historical_Data!#REF!</definedName>
    <definedName name="NKE_12" localSheetId="7">Raw_Historical_Data!#REF!</definedName>
    <definedName name="NKE_13" localSheetId="7">Raw_Historical_Data!#REF!</definedName>
    <definedName name="NKE_14" localSheetId="7">Raw_Historical_Data!#REF!</definedName>
    <definedName name="NKE_2" localSheetId="7">Raw_Historical_Data!#REF!</definedName>
    <definedName name="NKE_3" localSheetId="7">Raw_Historical_Data!#REF!</definedName>
    <definedName name="NKE_4" localSheetId="7">Raw_Historical_Data!#REF!</definedName>
    <definedName name="NKE_5" localSheetId="7">Raw_Historical_Data!#REF!</definedName>
    <definedName name="NKE_6" localSheetId="7">Raw_Historical_Data!#REF!</definedName>
    <definedName name="NKE_7" localSheetId="7">Raw_Historical_Data!#REF!</definedName>
    <definedName name="NKE_8" localSheetId="7">Raw_Historical_Data!#REF!</definedName>
    <definedName name="NKE_9" localSheetId="7">Raw_Historical_Data!#REF!</definedName>
    <definedName name="NLSN" localSheetId="7">Raw_Historical_Data!#REF!</definedName>
    <definedName name="NLSN_1" localSheetId="7">Raw_Historical_Data!#REF!</definedName>
    <definedName name="NLSN_10" localSheetId="7">Raw_Historical_Data!#REF!</definedName>
    <definedName name="NLSN_11" localSheetId="7">Raw_Historical_Data!#REF!</definedName>
    <definedName name="NLSN_12" localSheetId="7">Raw_Historical_Data!#REF!</definedName>
    <definedName name="NLSN_13" localSheetId="7">Raw_Historical_Data!#REF!</definedName>
    <definedName name="NLSN_14" localSheetId="7">Raw_Historical_Data!#REF!</definedName>
    <definedName name="NLSN_2" localSheetId="7">Raw_Historical_Data!#REF!</definedName>
    <definedName name="NLSN_3" localSheetId="7">Raw_Historical_Data!#REF!</definedName>
    <definedName name="NLSN_4" localSheetId="7">Raw_Historical_Data!#REF!</definedName>
    <definedName name="NLSN_5" localSheetId="7">Raw_Historical_Data!#REF!</definedName>
    <definedName name="NLSN_6" localSheetId="7">Raw_Historical_Data!#REF!</definedName>
    <definedName name="NLSN_7" localSheetId="7">Raw_Historical_Data!#REF!</definedName>
    <definedName name="NLSN_8" localSheetId="7">Raw_Historical_Data!#REF!</definedName>
    <definedName name="NLSN_9" localSheetId="7">Raw_Historical_Data!#REF!</definedName>
    <definedName name="PBH" localSheetId="7">Raw_Historical_Data!#REF!</definedName>
    <definedName name="PBH_1" localSheetId="7">Raw_Historical_Data!#REF!</definedName>
    <definedName name="PBH_10" localSheetId="7">Raw_Historical_Data!#REF!</definedName>
    <definedName name="PBH_11" localSheetId="7">Raw_Historical_Data!#REF!</definedName>
    <definedName name="PBH_12" localSheetId="7">Raw_Historical_Data!#REF!</definedName>
    <definedName name="PBH_13" localSheetId="7">Raw_Historical_Data!#REF!</definedName>
    <definedName name="PBH_14" localSheetId="7">Raw_Historical_Data!#REF!</definedName>
    <definedName name="PBH_2" localSheetId="7">Raw_Historical_Data!#REF!</definedName>
    <definedName name="PBH_3" localSheetId="7">Raw_Historical_Data!#REF!</definedName>
    <definedName name="PBH_4" localSheetId="7">Raw_Historical_Data!#REF!</definedName>
    <definedName name="PBH_5" localSheetId="7">Raw_Historical_Data!#REF!</definedName>
    <definedName name="PBH_6" localSheetId="7">Raw_Historical_Data!#REF!</definedName>
    <definedName name="PBH_7" localSheetId="7">Raw_Historical_Data!#REF!</definedName>
    <definedName name="PBH_8" localSheetId="7">Raw_Historical_Data!#REF!</definedName>
    <definedName name="PBH_9" localSheetId="7">Raw_Historical_Data!#REF!</definedName>
    <definedName name="PFPT" localSheetId="7">Raw_Historical_Data!#REF!</definedName>
    <definedName name="PFPT_1" localSheetId="7">Raw_Historical_Data!#REF!</definedName>
    <definedName name="PFPT_10" localSheetId="7">Raw_Historical_Data!#REF!</definedName>
    <definedName name="PFPT_11" localSheetId="7">Raw_Historical_Data!#REF!</definedName>
    <definedName name="PFPT_12" localSheetId="7">Raw_Historical_Data!#REF!</definedName>
    <definedName name="PFPT_13" localSheetId="7">Raw_Historical_Data!#REF!</definedName>
    <definedName name="PFPT_14" localSheetId="7">Raw_Historical_Data!#REF!</definedName>
    <definedName name="PFPT_2" localSheetId="7">Raw_Historical_Data!#REF!</definedName>
    <definedName name="PFPT_3" localSheetId="7">Raw_Historical_Data!#REF!</definedName>
    <definedName name="PFPT_4" localSheetId="7">Raw_Historical_Data!#REF!</definedName>
    <definedName name="PFPT_5" localSheetId="7">Raw_Historical_Data!#REF!</definedName>
    <definedName name="PFPT_6" localSheetId="7">Raw_Historical_Data!#REF!</definedName>
    <definedName name="PFPT_7" localSheetId="7">Raw_Historical_Data!#REF!</definedName>
    <definedName name="PFPT_8" localSheetId="7">Raw_Historical_Data!#REF!</definedName>
    <definedName name="PFPT_9" localSheetId="7">Raw_Historical_Data!#REF!</definedName>
    <definedName name="RDS_A" localSheetId="7">Raw_Historical_Data!#REF!</definedName>
    <definedName name="RDS_A_1" localSheetId="7">Raw_Historical_Data!#REF!</definedName>
    <definedName name="RDS_A_10" localSheetId="7">Raw_Historical_Data!#REF!</definedName>
    <definedName name="RDS_A_12" localSheetId="7">Raw_Historical_Data!#REF!</definedName>
    <definedName name="RDS_A_13" localSheetId="7">Raw_Historical_Data!#REF!</definedName>
    <definedName name="RDS_A_14" localSheetId="7">Raw_Historical_Data!#REF!</definedName>
    <definedName name="RDS_A_2" localSheetId="7">Raw_Historical_Data!#REF!</definedName>
    <definedName name="RDS_A_3" localSheetId="7">Raw_Historical_Data!#REF!</definedName>
    <definedName name="RDS_A_4" localSheetId="7">Raw_Historical_Data!#REF!</definedName>
    <definedName name="RDS_A_5" localSheetId="7">Raw_Historical_Data!#REF!</definedName>
    <definedName name="RDS_A_6" localSheetId="7">Raw_Historical_Data!#REF!</definedName>
    <definedName name="RDS_A_7" localSheetId="7">Raw_Historical_Data!#REF!</definedName>
    <definedName name="RDS_A_8" localSheetId="7">Raw_Historical_Data!#REF!</definedName>
    <definedName name="RDS_A_9" localSheetId="7">Raw_Historical_Data!#REF!</definedName>
    <definedName name="SAP" localSheetId="7">Raw_Historical_Data!#REF!</definedName>
    <definedName name="SAP_1" localSheetId="7">Raw_Historical_Data!#REF!</definedName>
    <definedName name="SAP_10" localSheetId="7">Raw_Historical_Data!#REF!</definedName>
    <definedName name="SAP_11" localSheetId="7">Raw_Historical_Data!#REF!</definedName>
    <definedName name="SAP_12" localSheetId="7">Raw_Historical_Data!#REF!</definedName>
    <definedName name="SAP_13" localSheetId="7">Raw_Historical_Data!#REF!</definedName>
    <definedName name="SAP_14" localSheetId="7">Raw_Historical_Data!#REF!</definedName>
    <definedName name="SAP_2" localSheetId="7">Raw_Historical_Data!#REF!</definedName>
    <definedName name="SAP_3" localSheetId="7">Raw_Historical_Data!#REF!</definedName>
    <definedName name="SAP_4" localSheetId="7">Raw_Historical_Data!#REF!</definedName>
    <definedName name="SAP_5" localSheetId="7">Raw_Historical_Data!#REF!</definedName>
    <definedName name="SAP_6" localSheetId="7">Raw_Historical_Data!#REF!</definedName>
    <definedName name="SAP_7" localSheetId="7">Raw_Historical_Data!#REF!</definedName>
    <definedName name="SAP_8" localSheetId="7">Raw_Historical_Data!#REF!</definedName>
    <definedName name="SAP_9" localSheetId="7">Raw_Historical_Data!#REF!</definedName>
    <definedName name="SBUX" localSheetId="7">Raw_Historical_Data!#REF!</definedName>
    <definedName name="SBUX_1" localSheetId="7">Raw_Historical_Data!#REF!</definedName>
    <definedName name="SBUX_10" localSheetId="7">Raw_Historical_Data!#REF!</definedName>
    <definedName name="SBUX_12" localSheetId="7">Raw_Historical_Data!#REF!</definedName>
    <definedName name="SBUX_13" localSheetId="7">Raw_Historical_Data!#REF!</definedName>
    <definedName name="SBUX_14" localSheetId="7">Raw_Historical_Data!#REF!</definedName>
    <definedName name="SBUX_2" localSheetId="7">Raw_Historical_Data!#REF!</definedName>
    <definedName name="SBUX_3" localSheetId="7">Raw_Historical_Data!#REF!</definedName>
    <definedName name="SBUX_4" localSheetId="7">Raw_Historical_Data!#REF!</definedName>
    <definedName name="SBUX_5" localSheetId="7">Raw_Historical_Data!#REF!</definedName>
    <definedName name="SBUX_6" localSheetId="7">Raw_Historical_Data!#REF!</definedName>
    <definedName name="SBUX_7" localSheetId="7">Raw_Historical_Data!#REF!</definedName>
    <definedName name="SBUX_8" localSheetId="7">Raw_Historical_Data!#REF!</definedName>
    <definedName name="SBUX_9" localSheetId="7">Raw_Historical_Data!#REF!</definedName>
    <definedName name="SCHW" localSheetId="7">Raw_Historical_Data!#REF!</definedName>
    <definedName name="SCHW_1" localSheetId="7">Raw_Historical_Data!#REF!</definedName>
    <definedName name="SCHW_10" localSheetId="7">Raw_Historical_Data!#REF!</definedName>
    <definedName name="SCHW_11" localSheetId="7">Raw_Historical_Data!#REF!</definedName>
    <definedName name="SCHW_12" localSheetId="7">Raw_Historical_Data!#REF!</definedName>
    <definedName name="SCHW_13" localSheetId="7">Raw_Historical_Data!#REF!</definedName>
    <definedName name="SCHW_14" localSheetId="7">Raw_Historical_Data!#REF!</definedName>
    <definedName name="SCHW_2" localSheetId="7">Raw_Historical_Data!#REF!</definedName>
    <definedName name="SCHW_3" localSheetId="7">Raw_Historical_Data!#REF!</definedName>
    <definedName name="SCHW_4" localSheetId="7">Raw_Historical_Data!#REF!</definedName>
    <definedName name="SCHW_5" localSheetId="7">Raw_Historical_Data!#REF!</definedName>
    <definedName name="SCHW_6" localSheetId="7">Raw_Historical_Data!#REF!</definedName>
    <definedName name="SCHW_7" localSheetId="7">Raw_Historical_Data!#REF!</definedName>
    <definedName name="SCHW_8" localSheetId="7">Raw_Historical_Data!#REF!</definedName>
    <definedName name="SCHW_9" localSheetId="7">Raw_Historical_Data!#REF!</definedName>
    <definedName name="SIEGY" localSheetId="7">Raw_Historical_Data!#REF!</definedName>
    <definedName name="SIEGY_1" localSheetId="7">Raw_Historical_Data!#REF!</definedName>
    <definedName name="SIEGY_10" localSheetId="7">Raw_Historical_Data!#REF!</definedName>
    <definedName name="SIEGY_11" localSheetId="7">Raw_Historical_Data!#REF!</definedName>
    <definedName name="SIEGY_12" localSheetId="7">Raw_Historical_Data!#REF!</definedName>
    <definedName name="SIEGY_13" localSheetId="7">Raw_Historical_Data!#REF!</definedName>
    <definedName name="SIEGY_14" localSheetId="7">Raw_Historical_Data!#REF!</definedName>
    <definedName name="SIEGY_2" localSheetId="7">Raw_Historical_Data!#REF!</definedName>
    <definedName name="SIEGY_3" localSheetId="7">Raw_Historical_Data!#REF!</definedName>
    <definedName name="SIEGY_4" localSheetId="7">Raw_Historical_Data!#REF!</definedName>
    <definedName name="SIEGY_5" localSheetId="7">Raw_Historical_Data!#REF!</definedName>
    <definedName name="SIEGY_6" localSheetId="7">Raw_Historical_Data!#REF!</definedName>
    <definedName name="SIEGY_7" localSheetId="7">Raw_Historical_Data!#REF!</definedName>
    <definedName name="SIEGY_8" localSheetId="7">Raw_Historical_Data!#REF!</definedName>
    <definedName name="SIEGY_9" localSheetId="7">Raw_Historical_Data!#REF!</definedName>
    <definedName name="SSD" localSheetId="7">Raw_Historical_Data!#REF!</definedName>
    <definedName name="SSD_1" localSheetId="7">Raw_Historical_Data!#REF!</definedName>
    <definedName name="SSD_10" localSheetId="7">Raw_Historical_Data!#REF!</definedName>
    <definedName name="SSD_11" localSheetId="7">Raw_Historical_Data!#REF!</definedName>
    <definedName name="SSD_12" localSheetId="7">Raw_Historical_Data!#REF!</definedName>
    <definedName name="SSD_13" localSheetId="7">Raw_Historical_Data!#REF!</definedName>
    <definedName name="SSD_14" localSheetId="7">Raw_Historical_Data!#REF!</definedName>
    <definedName name="SSD_2" localSheetId="7">Raw_Historical_Data!#REF!</definedName>
    <definedName name="SSD_3" localSheetId="7">Raw_Historical_Data!#REF!</definedName>
    <definedName name="SSD_4" localSheetId="7">Raw_Historical_Data!#REF!</definedName>
    <definedName name="SSD_5" localSheetId="7">Raw_Historical_Data!#REF!</definedName>
    <definedName name="SSD_6" localSheetId="7">Raw_Historical_Data!#REF!</definedName>
    <definedName name="SSD_7" localSheetId="7">Raw_Historical_Data!#REF!</definedName>
    <definedName name="SSD_8" localSheetId="7">Raw_Historical_Data!#REF!</definedName>
    <definedName name="SSD_9" localSheetId="7">Raw_Historical_Data!#REF!</definedName>
    <definedName name="STZ" localSheetId="7">Raw_Historical_Data!#REF!</definedName>
    <definedName name="STZ_1" localSheetId="7">Raw_Historical_Data!#REF!</definedName>
    <definedName name="STZ_10" localSheetId="7">Raw_Historical_Data!#REF!</definedName>
    <definedName name="STZ_12" localSheetId="7">Raw_Historical_Data!#REF!</definedName>
    <definedName name="STZ_13" localSheetId="7">Raw_Historical_Data!#REF!</definedName>
    <definedName name="STZ_14" localSheetId="7">Raw_Historical_Data!#REF!</definedName>
    <definedName name="STZ_2" localSheetId="7">Raw_Historical_Data!#REF!</definedName>
    <definedName name="STZ_3" localSheetId="7">Raw_Historical_Data!#REF!</definedName>
    <definedName name="STZ_4" localSheetId="7">Raw_Historical_Data!#REF!</definedName>
    <definedName name="STZ_5" localSheetId="7">Raw_Historical_Data!#REF!</definedName>
    <definedName name="STZ_6" localSheetId="7">Raw_Historical_Data!#REF!</definedName>
    <definedName name="STZ_7" localSheetId="7">Raw_Historical_Data!#REF!</definedName>
    <definedName name="STZ_8" localSheetId="7">Raw_Historical_Data!#REF!</definedName>
    <definedName name="STZ_9" localSheetId="7">Raw_Historical_Data!#REF!</definedName>
    <definedName name="T" localSheetId="7">Raw_Historical_Data!#REF!</definedName>
    <definedName name="T_1" localSheetId="7">Raw_Historical_Data!#REF!</definedName>
    <definedName name="T_10" localSheetId="7">Raw_Historical_Data!#REF!</definedName>
    <definedName name="T_12" localSheetId="7">Raw_Historical_Data!#REF!</definedName>
    <definedName name="T_13" localSheetId="7">Raw_Historical_Data!#REF!</definedName>
    <definedName name="T_14" localSheetId="7">Raw_Historical_Data!#REF!</definedName>
    <definedName name="T_2" localSheetId="7">Raw_Historical_Data!#REF!</definedName>
    <definedName name="T_3" localSheetId="7">Raw_Historical_Data!#REF!</definedName>
    <definedName name="T_4" localSheetId="7">Raw_Historical_Data!#REF!</definedName>
    <definedName name="T_5" localSheetId="7">Raw_Historical_Data!#REF!</definedName>
    <definedName name="T_6" localSheetId="7">Raw_Historical_Data!#REF!</definedName>
    <definedName name="T_7" localSheetId="7">Raw_Historical_Data!#REF!</definedName>
    <definedName name="T_8" localSheetId="7">Raw_Historical_Data!#REF!</definedName>
    <definedName name="T_9" localSheetId="7">Raw_Historical_Data!#REF!</definedName>
    <definedName name="UNH" localSheetId="7">Raw_Historical_Data!#REF!</definedName>
    <definedName name="UNH_1" localSheetId="7">Raw_Historical_Data!#REF!</definedName>
    <definedName name="UNH_10" localSheetId="7">Raw_Historical_Data!#REF!</definedName>
    <definedName name="UNH_11" localSheetId="7">Raw_Historical_Data!#REF!</definedName>
    <definedName name="UNH_12" localSheetId="7">Raw_Historical_Data!#REF!</definedName>
    <definedName name="UNH_13" localSheetId="7">Raw_Historical_Data!#REF!</definedName>
    <definedName name="UNH_14" localSheetId="7">Raw_Historical_Data!#REF!</definedName>
    <definedName name="UNH_2" localSheetId="7">Raw_Historical_Data!#REF!</definedName>
    <definedName name="UNH_3" localSheetId="7">Raw_Historical_Data!#REF!</definedName>
    <definedName name="UNH_4" localSheetId="7">Raw_Historical_Data!#REF!</definedName>
    <definedName name="UNH_5" localSheetId="7">Raw_Historical_Data!#REF!</definedName>
    <definedName name="UNH_6" localSheetId="7">Raw_Historical_Data!#REF!</definedName>
    <definedName name="UNH_7" localSheetId="7">Raw_Historical_Data!#REF!</definedName>
    <definedName name="UNH_8" localSheetId="7">Raw_Historical_Data!#REF!</definedName>
    <definedName name="UNH_9" localSheetId="7">Raw_Historical_Data!#REF!</definedName>
    <definedName name="V" localSheetId="7">Raw_Historical_Data!#REF!</definedName>
    <definedName name="V__10" localSheetId="7">Raw_Historical_Data!#REF!</definedName>
    <definedName name="V__11" localSheetId="7">Raw_Historical_Data!#REF!</definedName>
    <definedName name="V__9" localSheetId="7">Raw_Historical_Data!#REF!</definedName>
    <definedName name="V_1" localSheetId="7">Raw_Historical_Data!#REF!</definedName>
    <definedName name="V_10" localSheetId="7">Raw_Historical_Data!#REF!</definedName>
    <definedName name="V_11" localSheetId="7">Raw_Historical_Data!#REF!</definedName>
    <definedName name="V_2" localSheetId="7">Raw_Historical_Data!#REF!</definedName>
    <definedName name="V_3" localSheetId="7">Raw_Historical_Data!#REF!</definedName>
    <definedName name="V_4" localSheetId="7">Raw_Historical_Data!#REF!</definedName>
    <definedName name="V_5" localSheetId="7">Raw_Historical_Data!#REF!</definedName>
    <definedName name="V_6" localSheetId="7">Raw_Historical_Data!#REF!</definedName>
    <definedName name="V_7" localSheetId="7">Raw_Historical_Data!#REF!</definedName>
    <definedName name="V_8" localSheetId="7">Raw_Historical_Data!#REF!</definedName>
    <definedName name="V_9" localSheetId="7">Raw_Historical_Data!#REF!</definedName>
    <definedName name="WMT" localSheetId="7">Raw_Historical_Data!#REF!</definedName>
    <definedName name="WMT_1" localSheetId="7">Raw_Historical_Data!#REF!</definedName>
    <definedName name="WMT_10" localSheetId="7">Raw_Historical_Data!#REF!</definedName>
    <definedName name="WMT_12" localSheetId="7">Raw_Historical_Data!#REF!</definedName>
    <definedName name="WMT_13" localSheetId="7">Raw_Historical_Data!#REF!</definedName>
    <definedName name="WMT_14" localSheetId="7">Raw_Historical_Data!#REF!</definedName>
    <definedName name="WMT_2" localSheetId="7">Raw_Historical_Data!#REF!</definedName>
    <definedName name="WMT_3" localSheetId="7">Raw_Historical_Data!#REF!</definedName>
    <definedName name="WMT_4" localSheetId="7">Raw_Historical_Data!#REF!</definedName>
    <definedName name="WMT_5" localSheetId="7">Raw_Historical_Data!#REF!</definedName>
    <definedName name="WMT_6" localSheetId="7">Raw_Historical_Data!#REF!</definedName>
    <definedName name="WMT_7" localSheetId="7">Raw_Historical_Data!#REF!</definedName>
    <definedName name="WMT_8" localSheetId="7">Raw_Historical_Data!#REF!</definedName>
    <definedName name="WMT_9" localSheetId="7">Raw_Historical_Data!#REF!</definedName>
    <definedName name="ZBH" localSheetId="7">Raw_Historical_Data!#REF!</definedName>
    <definedName name="ZBH_1" localSheetId="7">Raw_Historical_Data!#REF!</definedName>
    <definedName name="ZBH_10" localSheetId="7">Raw_Historical_Data!#REF!</definedName>
    <definedName name="ZBH_11" localSheetId="7">Raw_Historical_Data!#REF!</definedName>
    <definedName name="ZBH_12" localSheetId="7">Raw_Historical_Data!#REF!</definedName>
    <definedName name="ZBH_13" localSheetId="7">Raw_Historical_Data!#REF!</definedName>
    <definedName name="ZBH_14" localSheetId="7">Raw_Historical_Data!#REF!</definedName>
    <definedName name="ZBH_2" localSheetId="7">Raw_Historical_Data!#REF!</definedName>
    <definedName name="ZBH_3" localSheetId="7">Raw_Historical_Data!#REF!</definedName>
    <definedName name="ZBH_4" localSheetId="7">Raw_Historical_Data!#REF!</definedName>
    <definedName name="ZBH_5" localSheetId="7">Raw_Historical_Data!#REF!</definedName>
    <definedName name="ZBH_6" localSheetId="7">Raw_Historical_Data!#REF!</definedName>
    <definedName name="ZBH_7" localSheetId="7">Raw_Historical_Data!#REF!</definedName>
    <definedName name="ZBH_8" localSheetId="7">Raw_Historical_Data!#REF!</definedName>
    <definedName name="ZBH_9" localSheetId="7">Raw_Historical_Data!#REF!</definedName>
    <definedName name="ZTS" localSheetId="7">Raw_Historical_Data!#REF!</definedName>
    <definedName name="ZTS_1" localSheetId="7">Raw_Historical_Data!#REF!</definedName>
    <definedName name="ZTS_10" localSheetId="7">Raw_Historical_Data!#REF!</definedName>
    <definedName name="ZTS_11" localSheetId="7">Raw_Historical_Data!#REF!</definedName>
    <definedName name="ZTS_12" localSheetId="7">Raw_Historical_Data!#REF!</definedName>
    <definedName name="ZTS_13" localSheetId="7">Raw_Historical_Data!#REF!</definedName>
    <definedName name="ZTS_14" localSheetId="7">Raw_Historical_Data!#REF!</definedName>
    <definedName name="ZTS_2" localSheetId="7">Raw_Historical_Data!#REF!</definedName>
    <definedName name="ZTS_3" localSheetId="7">Raw_Historical_Data!#REF!</definedName>
    <definedName name="ZTS_4" localSheetId="7">Raw_Historical_Data!#REF!</definedName>
    <definedName name="ZTS_5" localSheetId="7">Raw_Historical_Data!#REF!</definedName>
    <definedName name="ZTS_6" localSheetId="7">Raw_Historical_Data!#REF!</definedName>
    <definedName name="ZTS_7" localSheetId="7">Raw_Historical_Data!#REF!</definedName>
    <definedName name="ZTS_8" localSheetId="7">Raw_Historical_Data!#REF!</definedName>
    <definedName name="ZTS_9" localSheetId="7">Raw_Historical_Data!#REF!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B4" i="3" l="1"/>
  <c r="DD74" i="2" l="1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C87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CA84" i="2"/>
  <c r="CD84" i="2"/>
  <c r="CE84" i="2"/>
  <c r="CH84" i="2"/>
  <c r="CI84" i="2"/>
  <c r="CL84" i="2"/>
  <c r="CM84" i="2"/>
  <c r="CP84" i="2"/>
  <c r="CQ84" i="2"/>
  <c r="CT84" i="2"/>
  <c r="CU84" i="2"/>
  <c r="CX84" i="2"/>
  <c r="CY84" i="2"/>
  <c r="DB84" i="2"/>
  <c r="C84" i="2"/>
  <c r="CA75" i="2"/>
  <c r="CA76" i="2" s="1"/>
  <c r="CB75" i="2"/>
  <c r="CB76" i="2" s="1"/>
  <c r="CC75" i="2"/>
  <c r="CC76" i="2" s="1"/>
  <c r="CD75" i="2"/>
  <c r="CD76" i="2" s="1"/>
  <c r="CE75" i="2"/>
  <c r="CE76" i="2" s="1"/>
  <c r="CF75" i="2"/>
  <c r="CF76" i="2" s="1"/>
  <c r="CG75" i="2"/>
  <c r="CG76" i="2" s="1"/>
  <c r="CH75" i="2"/>
  <c r="CH76" i="2" s="1"/>
  <c r="CI75" i="2"/>
  <c r="CI76" i="2" s="1"/>
  <c r="CJ75" i="2"/>
  <c r="CJ76" i="2" s="1"/>
  <c r="CK75" i="2"/>
  <c r="CK76" i="2" s="1"/>
  <c r="CL75" i="2"/>
  <c r="CL76" i="2" s="1"/>
  <c r="CM75" i="2"/>
  <c r="CM76" i="2" s="1"/>
  <c r="CN75" i="2"/>
  <c r="CN76" i="2" s="1"/>
  <c r="CO75" i="2"/>
  <c r="CO76" i="2" s="1"/>
  <c r="CP75" i="2"/>
  <c r="CP76" i="2" s="1"/>
  <c r="CQ75" i="2"/>
  <c r="CQ76" i="2" s="1"/>
  <c r="CR75" i="2"/>
  <c r="CR76" i="2" s="1"/>
  <c r="CS75" i="2"/>
  <c r="CS76" i="2" s="1"/>
  <c r="CT75" i="2"/>
  <c r="CT76" i="2" s="1"/>
  <c r="CU75" i="2"/>
  <c r="CU76" i="2" s="1"/>
  <c r="CV75" i="2"/>
  <c r="CV76" i="2" s="1"/>
  <c r="CW75" i="2"/>
  <c r="CW76" i="2" s="1"/>
  <c r="CX75" i="2"/>
  <c r="CX76" i="2" s="1"/>
  <c r="CY75" i="2"/>
  <c r="CY76" i="2" s="1"/>
  <c r="CZ75" i="2"/>
  <c r="CZ76" i="2" s="1"/>
  <c r="DA75" i="2"/>
  <c r="DA76" i="2" s="1"/>
  <c r="DB75" i="2"/>
  <c r="DB76" i="2" s="1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DB64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DB65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DB66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DB62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A2" i="2"/>
  <c r="DA78" i="2" s="1"/>
  <c r="DB2" i="2"/>
  <c r="DB78" i="2" s="1"/>
  <c r="CA2" i="2"/>
  <c r="CA78" i="2" s="1"/>
  <c r="CB2" i="2"/>
  <c r="CB84" i="2" s="1"/>
  <c r="CC2" i="2"/>
  <c r="CC78" i="2" s="1"/>
  <c r="CD2" i="2"/>
  <c r="CD78" i="2" s="1"/>
  <c r="CE2" i="2"/>
  <c r="CE78" i="2" s="1"/>
  <c r="CF2" i="2"/>
  <c r="CF84" i="2" s="1"/>
  <c r="CG2" i="2"/>
  <c r="CG78" i="2" s="1"/>
  <c r="CH2" i="2"/>
  <c r="CH78" i="2" s="1"/>
  <c r="CI2" i="2"/>
  <c r="CI78" i="2" s="1"/>
  <c r="CJ2" i="2"/>
  <c r="CJ84" i="2" s="1"/>
  <c r="CK2" i="2"/>
  <c r="CK78" i="2" s="1"/>
  <c r="CL2" i="2"/>
  <c r="CL78" i="2" s="1"/>
  <c r="CM2" i="2"/>
  <c r="CM78" i="2" s="1"/>
  <c r="CN2" i="2"/>
  <c r="CN84" i="2" s="1"/>
  <c r="CO2" i="2"/>
  <c r="CO78" i="2" s="1"/>
  <c r="CP2" i="2"/>
  <c r="CP78" i="2" s="1"/>
  <c r="CQ2" i="2"/>
  <c r="CQ78" i="2" s="1"/>
  <c r="CR2" i="2"/>
  <c r="CR84" i="2" s="1"/>
  <c r="CS2" i="2"/>
  <c r="CS78" i="2" s="1"/>
  <c r="CT2" i="2"/>
  <c r="CT78" i="2" s="1"/>
  <c r="CU2" i="2"/>
  <c r="CU78" i="2" s="1"/>
  <c r="CV2" i="2"/>
  <c r="CV84" i="2" s="1"/>
  <c r="CW2" i="2"/>
  <c r="CW78" i="2" s="1"/>
  <c r="CX2" i="2"/>
  <c r="CX78" i="2" s="1"/>
  <c r="CY2" i="2"/>
  <c r="CY78" i="2" s="1"/>
  <c r="CZ2" i="2"/>
  <c r="CZ84" i="2" s="1"/>
  <c r="CZ70" i="2" l="1"/>
  <c r="CV70" i="2"/>
  <c r="CR70" i="2"/>
  <c r="CN70" i="2"/>
  <c r="CJ70" i="2"/>
  <c r="CF70" i="2"/>
  <c r="CB70" i="2"/>
  <c r="CY70" i="2"/>
  <c r="CU70" i="2"/>
  <c r="CQ70" i="2"/>
  <c r="CM70" i="2"/>
  <c r="CI70" i="2"/>
  <c r="CE70" i="2"/>
  <c r="CA70" i="2"/>
  <c r="CY87" i="2"/>
  <c r="CU87" i="2"/>
  <c r="CQ87" i="2"/>
  <c r="CM87" i="2"/>
  <c r="CI87" i="2"/>
  <c r="CE87" i="2"/>
  <c r="CA87" i="2"/>
  <c r="DB87" i="2"/>
  <c r="CX87" i="2"/>
  <c r="CT87" i="2"/>
  <c r="CP87" i="2"/>
  <c r="CL87" i="2"/>
  <c r="CH87" i="2"/>
  <c r="CD87" i="2"/>
  <c r="DA87" i="2"/>
  <c r="CW87" i="2"/>
  <c r="CS87" i="2"/>
  <c r="CO87" i="2"/>
  <c r="CK87" i="2"/>
  <c r="CG87" i="2"/>
  <c r="CC87" i="2"/>
  <c r="DA70" i="2"/>
  <c r="CW70" i="2"/>
  <c r="CW71" i="2" s="1"/>
  <c r="CW72" i="2" s="1"/>
  <c r="CS70" i="2"/>
  <c r="CO70" i="2"/>
  <c r="CK70" i="2"/>
  <c r="CG70" i="2"/>
  <c r="CC70" i="2"/>
  <c r="CZ87" i="2"/>
  <c r="CV87" i="2"/>
  <c r="CR87" i="2"/>
  <c r="CN87" i="2"/>
  <c r="CJ87" i="2"/>
  <c r="CF87" i="2"/>
  <c r="CB87" i="2"/>
  <c r="CV78" i="2"/>
  <c r="CF78" i="2"/>
  <c r="CZ78" i="2"/>
  <c r="CJ78" i="2"/>
  <c r="CR78" i="2"/>
  <c r="CB78" i="2"/>
  <c r="DB70" i="2"/>
  <c r="CX70" i="2"/>
  <c r="CT70" i="2"/>
  <c r="CP70" i="2"/>
  <c r="CL70" i="2"/>
  <c r="CH70" i="2"/>
  <c r="CD70" i="2"/>
  <c r="CN78" i="2"/>
  <c r="DA84" i="2"/>
  <c r="CW84" i="2"/>
  <c r="CS84" i="2"/>
  <c r="CO84" i="2"/>
  <c r="CK84" i="2"/>
  <c r="CG84" i="2"/>
  <c r="CC84" i="2"/>
  <c r="N22" i="4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BN75" i="2"/>
  <c r="BN76" i="2" s="1"/>
  <c r="BO75" i="2"/>
  <c r="BO76" i="2" s="1"/>
  <c r="BP75" i="2"/>
  <c r="BP76" i="2" s="1"/>
  <c r="BQ75" i="2"/>
  <c r="BQ76" i="2" s="1"/>
  <c r="BR75" i="2"/>
  <c r="BR76" i="2" s="1"/>
  <c r="BS75" i="2"/>
  <c r="BS76" i="2" s="1"/>
  <c r="BT75" i="2"/>
  <c r="BT76" i="2" s="1"/>
  <c r="BU75" i="2"/>
  <c r="BU76" i="2" s="1"/>
  <c r="BV75" i="2"/>
  <c r="BV76" i="2" s="1"/>
  <c r="BW75" i="2"/>
  <c r="BW76" i="2" s="1"/>
  <c r="BX75" i="2"/>
  <c r="BX76" i="2" s="1"/>
  <c r="BY75" i="2"/>
  <c r="BY76" i="2" s="1"/>
  <c r="BZ75" i="2"/>
  <c r="BZ76" i="2" s="1"/>
  <c r="BZ2" i="2"/>
  <c r="BX2" i="2"/>
  <c r="BX87" i="2" s="1"/>
  <c r="BY2" i="2"/>
  <c r="BY87" i="2" s="1"/>
  <c r="BO2" i="2"/>
  <c r="BO87" i="2" s="1"/>
  <c r="BP2" i="2"/>
  <c r="BP87" i="2" s="1"/>
  <c r="BQ2" i="2"/>
  <c r="BQ87" i="2" s="1"/>
  <c r="BR2" i="2"/>
  <c r="BR87" i="2" s="1"/>
  <c r="BS2" i="2"/>
  <c r="BS87" i="2" s="1"/>
  <c r="BT2" i="2"/>
  <c r="BT87" i="2" s="1"/>
  <c r="BU2" i="2"/>
  <c r="BU87" i="2" s="1"/>
  <c r="BV2" i="2"/>
  <c r="BV87" i="2" s="1"/>
  <c r="BW2" i="2"/>
  <c r="BW87" i="2" s="1"/>
  <c r="BN2" i="2"/>
  <c r="CB71" i="2" l="1"/>
  <c r="CB72" i="2" s="1"/>
  <c r="CR71" i="2"/>
  <c r="CR72" i="2" s="1"/>
  <c r="CK71" i="2"/>
  <c r="CK72" i="2" s="1"/>
  <c r="CG71" i="2"/>
  <c r="CG72" i="2" s="1"/>
  <c r="DB71" i="2"/>
  <c r="DB72" i="2" s="1"/>
  <c r="DA71" i="2"/>
  <c r="DA72" i="2" s="1"/>
  <c r="CN71" i="2"/>
  <c r="CN72" i="2" s="1"/>
  <c r="CC71" i="2"/>
  <c r="CC72" i="2" s="1"/>
  <c r="CS71" i="2"/>
  <c r="CS72" i="2" s="1"/>
  <c r="CF71" i="2"/>
  <c r="CF72" i="2" s="1"/>
  <c r="CV71" i="2"/>
  <c r="CV72" i="2" s="1"/>
  <c r="CO71" i="2"/>
  <c r="CO72" i="2" s="1"/>
  <c r="CJ71" i="2"/>
  <c r="CJ72" i="2" s="1"/>
  <c r="CZ71" i="2"/>
  <c r="CZ72" i="2" s="1"/>
  <c r="BN84" i="2"/>
  <c r="BN87" i="2"/>
  <c r="BN78" i="2"/>
  <c r="BZ84" i="2"/>
  <c r="BZ87" i="2"/>
  <c r="BQ78" i="2"/>
  <c r="BQ84" i="2"/>
  <c r="CY71" i="2"/>
  <c r="CY72" i="2" s="1"/>
  <c r="CX71" i="2"/>
  <c r="CX72" i="2" s="1"/>
  <c r="BU78" i="2"/>
  <c r="BU84" i="2"/>
  <c r="BW78" i="2"/>
  <c r="BW84" i="2"/>
  <c r="BS78" i="2"/>
  <c r="BS84" i="2"/>
  <c r="BO78" i="2"/>
  <c r="BO84" i="2"/>
  <c r="CQ71" i="2"/>
  <c r="CQ72" i="2" s="1"/>
  <c r="CP71" i="2"/>
  <c r="CP72" i="2" s="1"/>
  <c r="BX78" i="2"/>
  <c r="BX84" i="2"/>
  <c r="CI71" i="2"/>
  <c r="CI72" i="2" s="1"/>
  <c r="CH71" i="2"/>
  <c r="CH72" i="2" s="1"/>
  <c r="BT78" i="2"/>
  <c r="BT84" i="2"/>
  <c r="BP78" i="2"/>
  <c r="BP84" i="2"/>
  <c r="CM71" i="2"/>
  <c r="CM72" i="2" s="1"/>
  <c r="CL71" i="2"/>
  <c r="CL72" i="2" s="1"/>
  <c r="BV78" i="2"/>
  <c r="BV84" i="2"/>
  <c r="BR78" i="2"/>
  <c r="BR84" i="2"/>
  <c r="BY78" i="2"/>
  <c r="BY84" i="2"/>
  <c r="BZ78" i="2"/>
  <c r="CE71" i="2"/>
  <c r="CE72" i="2" s="1"/>
  <c r="CD71" i="2"/>
  <c r="CD72" i="2" s="1"/>
  <c r="CU71" i="2"/>
  <c r="CU72" i="2" s="1"/>
  <c r="CT71" i="2"/>
  <c r="CT72" i="2" s="1"/>
  <c r="B25" i="6"/>
  <c r="B26" i="6"/>
  <c r="B27" i="6"/>
  <c r="B28" i="6"/>
  <c r="B29" i="6"/>
  <c r="B24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C11" i="6"/>
  <c r="C10" i="6"/>
  <c r="C9" i="6"/>
  <c r="C8" i="6"/>
  <c r="C7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C6" i="6"/>
  <c r="BH15" i="6" l="1"/>
  <c r="AZ15" i="6"/>
  <c r="AR15" i="6"/>
  <c r="AJ15" i="6"/>
  <c r="AB15" i="6"/>
  <c r="T15" i="6"/>
  <c r="L15" i="6"/>
  <c r="BK20" i="6"/>
  <c r="BC20" i="6"/>
  <c r="Y17" i="6"/>
  <c r="Q17" i="6"/>
  <c r="BK16" i="6"/>
  <c r="BC16" i="6"/>
  <c r="AM16" i="6"/>
  <c r="AE16" i="6"/>
  <c r="O16" i="6"/>
  <c r="G16" i="6"/>
  <c r="BL15" i="6"/>
  <c r="BD15" i="6"/>
  <c r="AV15" i="6"/>
  <c r="AN15" i="6"/>
  <c r="AF15" i="6"/>
  <c r="X15" i="6"/>
  <c r="P15" i="6"/>
  <c r="H15" i="6"/>
  <c r="BG20" i="6"/>
  <c r="AY20" i="6"/>
  <c r="AQ20" i="6"/>
  <c r="AI20" i="6"/>
  <c r="AA20" i="6"/>
  <c r="S20" i="6"/>
  <c r="K20" i="6"/>
  <c r="BM19" i="6"/>
  <c r="BE19" i="6"/>
  <c r="AU20" i="6"/>
  <c r="AM20" i="6"/>
  <c r="AE20" i="6"/>
  <c r="W20" i="6"/>
  <c r="O20" i="6"/>
  <c r="G20" i="6"/>
  <c r="BI19" i="6"/>
  <c r="BA19" i="6"/>
  <c r="AS19" i="6"/>
  <c r="AK19" i="6"/>
  <c r="AC19" i="6"/>
  <c r="U19" i="6"/>
  <c r="M19" i="6"/>
  <c r="E19" i="6"/>
  <c r="BG18" i="6"/>
  <c r="AY18" i="6"/>
  <c r="AQ18" i="6"/>
  <c r="AI18" i="6"/>
  <c r="AA18" i="6"/>
  <c r="S18" i="6"/>
  <c r="K18" i="6"/>
  <c r="BM17" i="6"/>
  <c r="BE17" i="6"/>
  <c r="AW17" i="6"/>
  <c r="AO17" i="6"/>
  <c r="AG17" i="6"/>
  <c r="AW19" i="6"/>
  <c r="AO19" i="6"/>
  <c r="AG19" i="6"/>
  <c r="Y19" i="6"/>
  <c r="Q19" i="6"/>
  <c r="I19" i="6"/>
  <c r="BK18" i="6"/>
  <c r="BC18" i="6"/>
  <c r="AU18" i="6"/>
  <c r="AM18" i="6"/>
  <c r="AE18" i="6"/>
  <c r="W18" i="6"/>
  <c r="O18" i="6"/>
  <c r="G18" i="6"/>
  <c r="BI17" i="6"/>
  <c r="BA17" i="6"/>
  <c r="AS17" i="6"/>
  <c r="AK17" i="6"/>
  <c r="AC17" i="6"/>
  <c r="U17" i="6"/>
  <c r="M17" i="6"/>
  <c r="E17" i="6"/>
  <c r="AY16" i="6"/>
  <c r="AQ16" i="6"/>
  <c r="AA16" i="6"/>
  <c r="S16" i="6"/>
  <c r="BB15" i="6"/>
  <c r="AP15" i="6"/>
  <c r="AD15" i="6"/>
  <c r="R15" i="6"/>
  <c r="F15" i="6"/>
  <c r="BI20" i="6"/>
  <c r="AW20" i="6"/>
  <c r="AK20" i="6"/>
  <c r="Y20" i="6"/>
  <c r="M20" i="6"/>
  <c r="BK19" i="6"/>
  <c r="AY19" i="6"/>
  <c r="AM19" i="6"/>
  <c r="AA19" i="6"/>
  <c r="O19" i="6"/>
  <c r="AO18" i="6"/>
  <c r="G17" i="6"/>
  <c r="U16" i="6"/>
  <c r="BS4" i="2"/>
  <c r="BQ4" i="2"/>
  <c r="BW4" i="2"/>
  <c r="BU4" i="2"/>
  <c r="BR4" i="2"/>
  <c r="BX4" i="2"/>
  <c r="BP4" i="2"/>
  <c r="BO4" i="2"/>
  <c r="BV4" i="2"/>
  <c r="BT4" i="2"/>
  <c r="BZ4" i="2"/>
  <c r="BY4" i="2"/>
  <c r="BN4" i="2"/>
  <c r="BP5" i="2"/>
  <c r="BO5" i="2"/>
  <c r="BN5" i="2"/>
  <c r="BV5" i="2"/>
  <c r="BT5" i="2"/>
  <c r="BY5" i="2"/>
  <c r="BR5" i="2"/>
  <c r="BW5" i="2"/>
  <c r="BU5" i="2"/>
  <c r="BS5" i="2"/>
  <c r="BZ5" i="2"/>
  <c r="BX5" i="2"/>
  <c r="BQ5" i="2"/>
  <c r="BY18" i="2"/>
  <c r="BT34" i="2"/>
  <c r="BN45" i="2"/>
  <c r="BN13" i="2"/>
  <c r="BY14" i="2"/>
  <c r="BT19" i="2"/>
  <c r="BR21" i="2"/>
  <c r="BN24" i="2"/>
  <c r="BZ25" i="2"/>
  <c r="BO35" i="2"/>
  <c r="BU37" i="2"/>
  <c r="BZ39" i="2"/>
  <c r="BY7" i="2"/>
  <c r="BN9" i="2"/>
  <c r="BO13" i="2"/>
  <c r="BZ14" i="2"/>
  <c r="BU19" i="2"/>
  <c r="BO24" i="2"/>
  <c r="BP35" i="2"/>
  <c r="BV37" i="2"/>
  <c r="BY36" i="2"/>
  <c r="BZ7" i="2"/>
  <c r="BO9" i="2"/>
  <c r="BS11" i="2"/>
  <c r="BP13" i="2"/>
  <c r="BV19" i="2"/>
  <c r="BP24" i="2"/>
  <c r="BT26" i="2"/>
  <c r="BY29" i="2"/>
  <c r="BR32" i="2"/>
  <c r="BN38" i="2"/>
  <c r="BT40" i="2"/>
  <c r="BY43" i="2"/>
  <c r="BR46" i="2"/>
  <c r="BP9" i="2"/>
  <c r="BV11" i="2"/>
  <c r="BQ13" i="2"/>
  <c r="BW19" i="2"/>
  <c r="BS21" i="2"/>
  <c r="BQ24" i="2"/>
  <c r="BU26" i="2"/>
  <c r="BZ29" i="2"/>
  <c r="BO38" i="2"/>
  <c r="BU40" i="2"/>
  <c r="BZ43" i="2"/>
  <c r="BU8" i="2"/>
  <c r="BT22" i="2"/>
  <c r="BR39" i="2"/>
  <c r="BV7" i="2"/>
  <c r="BX6" i="2"/>
  <c r="BQ9" i="2"/>
  <c r="BR18" i="2"/>
  <c r="BN20" i="2"/>
  <c r="BY21" i="2"/>
  <c r="BV26" i="2"/>
  <c r="BP38" i="2"/>
  <c r="BV40" i="2"/>
  <c r="BZ6" i="2"/>
  <c r="BO8" i="2"/>
  <c r="BZ11" i="2"/>
  <c r="BO20" i="2"/>
  <c r="BZ21" i="2"/>
  <c r="BN28" i="2"/>
  <c r="BT30" i="2"/>
  <c r="BY32" i="2"/>
  <c r="BR36" i="2"/>
  <c r="BN42" i="2"/>
  <c r="BT44" i="2"/>
  <c r="BY46" i="2"/>
  <c r="BT12" i="2"/>
  <c r="BN31" i="2"/>
  <c r="BY11" i="2"/>
  <c r="BP8" i="2"/>
  <c r="BP20" i="2"/>
  <c r="BO28" i="2"/>
  <c r="BU30" i="2"/>
  <c r="BZ32" i="2"/>
  <c r="BO42" i="2"/>
  <c r="BU44" i="2"/>
  <c r="BZ46" i="2"/>
  <c r="BN6" i="2"/>
  <c r="BR7" i="2"/>
  <c r="BT8" i="2"/>
  <c r="BX13" i="2"/>
  <c r="BS18" i="2"/>
  <c r="BQ20" i="2"/>
  <c r="BX24" i="2"/>
  <c r="BP28" i="2"/>
  <c r="BV30" i="2"/>
  <c r="BP42" i="2"/>
  <c r="BV44" i="2"/>
  <c r="BO6" i="2"/>
  <c r="BR14" i="2"/>
  <c r="BR25" i="2"/>
  <c r="BU48" i="2"/>
  <c r="BP6" i="2"/>
  <c r="BV8" i="2"/>
  <c r="BX9" i="2"/>
  <c r="BU12" i="2"/>
  <c r="BZ18" i="2"/>
  <c r="BU22" i="2"/>
  <c r="BO31" i="2"/>
  <c r="BU34" i="2"/>
  <c r="BZ36" i="2"/>
  <c r="BO45" i="2"/>
  <c r="BO49" i="2"/>
  <c r="BQ6" i="2"/>
  <c r="BS7" i="2"/>
  <c r="BW8" i="2"/>
  <c r="BV12" i="2"/>
  <c r="BV22" i="2"/>
  <c r="BP31" i="2"/>
  <c r="BV34" i="2"/>
  <c r="BP45" i="2"/>
  <c r="BU7" i="2"/>
  <c r="BR11" i="2"/>
  <c r="BW12" i="2"/>
  <c r="BS14" i="2"/>
  <c r="BX20" i="2"/>
  <c r="BW22" i="2"/>
  <c r="BY25" i="2"/>
  <c r="BR29" i="2"/>
  <c r="BN35" i="2"/>
  <c r="BT37" i="2"/>
  <c r="BY39" i="2"/>
  <c r="BR43" i="2"/>
  <c r="BP19" i="2"/>
  <c r="BP48" i="2"/>
  <c r="BV50" i="2"/>
  <c r="BP51" i="2"/>
  <c r="BV58" i="2"/>
  <c r="BP59" i="2"/>
  <c r="BV61" i="2"/>
  <c r="BP62" i="2"/>
  <c r="BV65" i="2"/>
  <c r="BP66" i="2"/>
  <c r="BS6" i="2"/>
  <c r="BW7" i="2"/>
  <c r="BQ8" i="2"/>
  <c r="BX8" i="2"/>
  <c r="BS9" i="2"/>
  <c r="BW11" i="2"/>
  <c r="BQ12" i="2"/>
  <c r="BX12" i="2"/>
  <c r="BS13" i="2"/>
  <c r="BW14" i="2"/>
  <c r="BW18" i="2"/>
  <c r="BQ19" i="2"/>
  <c r="BX19" i="2"/>
  <c r="BS20" i="2"/>
  <c r="BW21" i="2"/>
  <c r="BQ22" i="2"/>
  <c r="BX22" i="2"/>
  <c r="BS24" i="2"/>
  <c r="BW25" i="2"/>
  <c r="BQ26" i="2"/>
  <c r="BX26" i="2"/>
  <c r="BS28" i="2"/>
  <c r="BW29" i="2"/>
  <c r="BQ30" i="2"/>
  <c r="BX30" i="2"/>
  <c r="BS31" i="2"/>
  <c r="BW32" i="2"/>
  <c r="BQ34" i="2"/>
  <c r="BX34" i="2"/>
  <c r="BS35" i="2"/>
  <c r="BW36" i="2"/>
  <c r="BQ37" i="2"/>
  <c r="BX37" i="2"/>
  <c r="BS38" i="2"/>
  <c r="BW39" i="2"/>
  <c r="BQ40" i="2"/>
  <c r="BX40" i="2"/>
  <c r="BS42" i="2"/>
  <c r="BW43" i="2"/>
  <c r="BQ44" i="2"/>
  <c r="BX44" i="2"/>
  <c r="BS45" i="2"/>
  <c r="BW46" i="2"/>
  <c r="BQ48" i="2"/>
  <c r="BX48" i="2"/>
  <c r="BS49" i="2"/>
  <c r="BW50" i="2"/>
  <c r="BQ51" i="2"/>
  <c r="BX51" i="2"/>
  <c r="BS53" i="2"/>
  <c r="BW54" i="2"/>
  <c r="BQ55" i="2"/>
  <c r="BX55" i="2"/>
  <c r="BS57" i="2"/>
  <c r="BW58" i="2"/>
  <c r="BQ59" i="2"/>
  <c r="BX59" i="2"/>
  <c r="BS60" i="2"/>
  <c r="BW61" i="2"/>
  <c r="BQ62" i="2"/>
  <c r="BX62" i="2"/>
  <c r="BS64" i="2"/>
  <c r="BW65" i="2"/>
  <c r="BQ66" i="2"/>
  <c r="BX66" i="2"/>
  <c r="BV18" i="2"/>
  <c r="BP22" i="2"/>
  <c r="BP26" i="2"/>
  <c r="BP30" i="2"/>
  <c r="BN7" i="2"/>
  <c r="BN11" i="2"/>
  <c r="BT13" i="2"/>
  <c r="BY19" i="2"/>
  <c r="BR22" i="2"/>
  <c r="BN29" i="2"/>
  <c r="BY30" i="2"/>
  <c r="BR34" i="2"/>
  <c r="BT35" i="2"/>
  <c r="BR37" i="2"/>
  <c r="BY37" i="2"/>
  <c r="BN39" i="2"/>
  <c r="BY40" i="2"/>
  <c r="BT42" i="2"/>
  <c r="BN43" i="2"/>
  <c r="BR44" i="2"/>
  <c r="BY44" i="2"/>
  <c r="BT45" i="2"/>
  <c r="BN46" i="2"/>
  <c r="BR48" i="2"/>
  <c r="BY48" i="2"/>
  <c r="BT49" i="2"/>
  <c r="BN50" i="2"/>
  <c r="BR51" i="2"/>
  <c r="BY51" i="2"/>
  <c r="BT53" i="2"/>
  <c r="BN54" i="2"/>
  <c r="BR55" i="2"/>
  <c r="BY55" i="2"/>
  <c r="BT57" i="2"/>
  <c r="BN58" i="2"/>
  <c r="BR59" i="2"/>
  <c r="BY59" i="2"/>
  <c r="BT60" i="2"/>
  <c r="BN61" i="2"/>
  <c r="BR62" i="2"/>
  <c r="BY62" i="2"/>
  <c r="BT64" i="2"/>
  <c r="BN65" i="2"/>
  <c r="BR66" i="2"/>
  <c r="BY66" i="2"/>
  <c r="BV14" i="2"/>
  <c r="BP34" i="2"/>
  <c r="BP37" i="2"/>
  <c r="BV39" i="2"/>
  <c r="BV43" i="2"/>
  <c r="BV54" i="2"/>
  <c r="BT6" i="2"/>
  <c r="BY8" i="2"/>
  <c r="BR12" i="2"/>
  <c r="BT24" i="2"/>
  <c r="BR26" i="2"/>
  <c r="BT31" i="2"/>
  <c r="BY34" i="2"/>
  <c r="BN36" i="2"/>
  <c r="BR40" i="2"/>
  <c r="BO7" i="2"/>
  <c r="BZ8" i="2"/>
  <c r="BU9" i="2"/>
  <c r="BO11" i="2"/>
  <c r="BZ12" i="2"/>
  <c r="BU13" i="2"/>
  <c r="BO14" i="2"/>
  <c r="BO18" i="2"/>
  <c r="BZ19" i="2"/>
  <c r="BU20" i="2"/>
  <c r="BO21" i="2"/>
  <c r="BZ22" i="2"/>
  <c r="BU24" i="2"/>
  <c r="BO25" i="2"/>
  <c r="BZ26" i="2"/>
  <c r="BU28" i="2"/>
  <c r="BO29" i="2"/>
  <c r="BZ30" i="2"/>
  <c r="BU31" i="2"/>
  <c r="BO32" i="2"/>
  <c r="BZ34" i="2"/>
  <c r="BU35" i="2"/>
  <c r="BO36" i="2"/>
  <c r="BZ37" i="2"/>
  <c r="BU38" i="2"/>
  <c r="BO39" i="2"/>
  <c r="BZ40" i="2"/>
  <c r="BU42" i="2"/>
  <c r="BO43" i="2"/>
  <c r="BZ44" i="2"/>
  <c r="BU45" i="2"/>
  <c r="BO46" i="2"/>
  <c r="BZ48" i="2"/>
  <c r="BU49" i="2"/>
  <c r="BO50" i="2"/>
  <c r="BZ51" i="2"/>
  <c r="BU53" i="2"/>
  <c r="BO54" i="2"/>
  <c r="BZ55" i="2"/>
  <c r="BU57" i="2"/>
  <c r="BO58" i="2"/>
  <c r="BZ59" i="2"/>
  <c r="BU60" i="2"/>
  <c r="BO61" i="2"/>
  <c r="BZ62" i="2"/>
  <c r="BU64" i="2"/>
  <c r="BO65" i="2"/>
  <c r="BZ66" i="2"/>
  <c r="BV21" i="2"/>
  <c r="BV25" i="2"/>
  <c r="BV29" i="2"/>
  <c r="BV32" i="2"/>
  <c r="BP40" i="2"/>
  <c r="BP44" i="2"/>
  <c r="BT9" i="2"/>
  <c r="BY12" i="2"/>
  <c r="BN18" i="2"/>
  <c r="BN21" i="2"/>
  <c r="BN25" i="2"/>
  <c r="BT28" i="2"/>
  <c r="BN32" i="2"/>
  <c r="BV6" i="2"/>
  <c r="BP7" i="2"/>
  <c r="BV9" i="2"/>
  <c r="BP11" i="2"/>
  <c r="BV13" i="2"/>
  <c r="BP14" i="2"/>
  <c r="BP18" i="2"/>
  <c r="BV20" i="2"/>
  <c r="BP21" i="2"/>
  <c r="BV24" i="2"/>
  <c r="BP25" i="2"/>
  <c r="BV28" i="2"/>
  <c r="BP29" i="2"/>
  <c r="BV31" i="2"/>
  <c r="BP32" i="2"/>
  <c r="BV35" i="2"/>
  <c r="BP36" i="2"/>
  <c r="BV38" i="2"/>
  <c r="BP39" i="2"/>
  <c r="BV42" i="2"/>
  <c r="BP43" i="2"/>
  <c r="BV45" i="2"/>
  <c r="BP46" i="2"/>
  <c r="BV49" i="2"/>
  <c r="BP50" i="2"/>
  <c r="BV53" i="2"/>
  <c r="BP54" i="2"/>
  <c r="BV57" i="2"/>
  <c r="BP58" i="2"/>
  <c r="BV60" i="2"/>
  <c r="BP61" i="2"/>
  <c r="BV64" i="2"/>
  <c r="BP65" i="2"/>
  <c r="BP12" i="2"/>
  <c r="BV36" i="2"/>
  <c r="BV46" i="2"/>
  <c r="BP55" i="2"/>
  <c r="BR8" i="2"/>
  <c r="BN14" i="2"/>
  <c r="BR19" i="2"/>
  <c r="BT20" i="2"/>
  <c r="BY22" i="2"/>
  <c r="BY26" i="2"/>
  <c r="BR30" i="2"/>
  <c r="BT38" i="2"/>
  <c r="BU6" i="2"/>
  <c r="BW6" i="2"/>
  <c r="BQ7" i="2"/>
  <c r="BX7" i="2"/>
  <c r="BS8" i="2"/>
  <c r="BW9" i="2"/>
  <c r="BQ11" i="2"/>
  <c r="BX11" i="2"/>
  <c r="BS12" i="2"/>
  <c r="BW13" i="2"/>
  <c r="BQ14" i="2"/>
  <c r="BX14" i="2"/>
  <c r="BQ18" i="2"/>
  <c r="BX18" i="2"/>
  <c r="BS19" i="2"/>
  <c r="BW20" i="2"/>
  <c r="BQ21" i="2"/>
  <c r="BX21" i="2"/>
  <c r="BS22" i="2"/>
  <c r="BW24" i="2"/>
  <c r="BQ25" i="2"/>
  <c r="BX25" i="2"/>
  <c r="BS26" i="2"/>
  <c r="BW28" i="2"/>
  <c r="BQ29" i="2"/>
  <c r="BX29" i="2"/>
  <c r="BS30" i="2"/>
  <c r="BW31" i="2"/>
  <c r="BQ32" i="2"/>
  <c r="BX32" i="2"/>
  <c r="BS34" i="2"/>
  <c r="BW35" i="2"/>
  <c r="BQ36" i="2"/>
  <c r="BX36" i="2"/>
  <c r="BS37" i="2"/>
  <c r="BX39" i="2"/>
  <c r="BW38" i="2"/>
  <c r="BQ39" i="2"/>
  <c r="BS40" i="2"/>
  <c r="BW42" i="2"/>
  <c r="BQ43" i="2"/>
  <c r="BX43" i="2"/>
  <c r="BS44" i="2"/>
  <c r="BW45" i="2"/>
  <c r="BQ46" i="2"/>
  <c r="BX46" i="2"/>
  <c r="BS48" i="2"/>
  <c r="BW49" i="2"/>
  <c r="BQ50" i="2"/>
  <c r="BW53" i="2"/>
  <c r="BX50" i="2"/>
  <c r="BS51" i="2"/>
  <c r="BQ54" i="2"/>
  <c r="BX54" i="2"/>
  <c r="BS55" i="2"/>
  <c r="BW57" i="2"/>
  <c r="BQ58" i="2"/>
  <c r="BX58" i="2"/>
  <c r="BS59" i="2"/>
  <c r="BW60" i="2"/>
  <c r="BQ61" i="2"/>
  <c r="BX61" i="2"/>
  <c r="BS62" i="2"/>
  <c r="BW64" i="2"/>
  <c r="BQ65" i="2"/>
  <c r="BX65" i="2"/>
  <c r="BS66" i="2"/>
  <c r="BT48" i="2"/>
  <c r="BN49" i="2"/>
  <c r="BR50" i="2"/>
  <c r="BY50" i="2"/>
  <c r="BT51" i="2"/>
  <c r="BN53" i="2"/>
  <c r="BR54" i="2"/>
  <c r="BY54" i="2"/>
  <c r="BT55" i="2"/>
  <c r="BN57" i="2"/>
  <c r="BR58" i="2"/>
  <c r="BY58" i="2"/>
  <c r="BT59" i="2"/>
  <c r="BN60" i="2"/>
  <c r="BR61" i="2"/>
  <c r="BY61" i="2"/>
  <c r="BT62" i="2"/>
  <c r="BN64" i="2"/>
  <c r="BR65" i="2"/>
  <c r="BY65" i="2"/>
  <c r="BT66" i="2"/>
  <c r="BZ50" i="2"/>
  <c r="BU51" i="2"/>
  <c r="BO53" i="2"/>
  <c r="BZ54" i="2"/>
  <c r="BU55" i="2"/>
  <c r="BO57" i="2"/>
  <c r="BZ58" i="2"/>
  <c r="BU59" i="2"/>
  <c r="BO60" i="2"/>
  <c r="BZ61" i="2"/>
  <c r="BU62" i="2"/>
  <c r="BO64" i="2"/>
  <c r="BZ65" i="2"/>
  <c r="BU66" i="2"/>
  <c r="BV48" i="2"/>
  <c r="BP49" i="2"/>
  <c r="BV51" i="2"/>
  <c r="BP53" i="2"/>
  <c r="BV55" i="2"/>
  <c r="BP57" i="2"/>
  <c r="BV59" i="2"/>
  <c r="BP60" i="2"/>
  <c r="BP64" i="2"/>
  <c r="BV62" i="2"/>
  <c r="BV66" i="2"/>
  <c r="BS25" i="2"/>
  <c r="BW26" i="2"/>
  <c r="BX28" i="2"/>
  <c r="BX31" i="2"/>
  <c r="BQ35" i="2"/>
  <c r="BS36" i="2"/>
  <c r="BW37" i="2"/>
  <c r="BS39" i="2"/>
  <c r="BW40" i="2"/>
  <c r="BX42" i="2"/>
  <c r="BX45" i="2"/>
  <c r="BQ49" i="2"/>
  <c r="BS50" i="2"/>
  <c r="BQ53" i="2"/>
  <c r="BW59" i="2"/>
  <c r="BQ28" i="2"/>
  <c r="BS29" i="2"/>
  <c r="BW30" i="2"/>
  <c r="BQ31" i="2"/>
  <c r="BS32" i="2"/>
  <c r="BW34" i="2"/>
  <c r="BX35" i="2"/>
  <c r="BQ38" i="2"/>
  <c r="BX38" i="2"/>
  <c r="BQ42" i="2"/>
  <c r="BS43" i="2"/>
  <c r="BW44" i="2"/>
  <c r="BQ45" i="2"/>
  <c r="BS46" i="2"/>
  <c r="BW48" i="2"/>
  <c r="BX49" i="2"/>
  <c r="BW51" i="2"/>
  <c r="BX53" i="2"/>
  <c r="BS54" i="2"/>
  <c r="BW55" i="2"/>
  <c r="BQ57" i="2"/>
  <c r="BX57" i="2"/>
  <c r="BS58" i="2"/>
  <c r="BQ60" i="2"/>
  <c r="BX60" i="2"/>
  <c r="BS61" i="2"/>
  <c r="BW62" i="2"/>
  <c r="BQ64" i="2"/>
  <c r="BX64" i="2"/>
  <c r="BS65" i="2"/>
  <c r="BW66" i="2"/>
  <c r="BR6" i="2"/>
  <c r="BY6" i="2"/>
  <c r="BT7" i="2"/>
  <c r="BN8" i="2"/>
  <c r="BR9" i="2"/>
  <c r="BY9" i="2"/>
  <c r="BT11" i="2"/>
  <c r="BN12" i="2"/>
  <c r="BR13" i="2"/>
  <c r="BY13" i="2"/>
  <c r="BT14" i="2"/>
  <c r="BN15" i="2"/>
  <c r="BT18" i="2"/>
  <c r="BN19" i="2"/>
  <c r="BR20" i="2"/>
  <c r="BY20" i="2"/>
  <c r="BT21" i="2"/>
  <c r="BN22" i="2"/>
  <c r="BR24" i="2"/>
  <c r="BY24" i="2"/>
  <c r="BT25" i="2"/>
  <c r="BN26" i="2"/>
  <c r="BR28" i="2"/>
  <c r="BY28" i="2"/>
  <c r="BT29" i="2"/>
  <c r="BN30" i="2"/>
  <c r="BR31" i="2"/>
  <c r="BY31" i="2"/>
  <c r="BT32" i="2"/>
  <c r="BN34" i="2"/>
  <c r="BR35" i="2"/>
  <c r="BY35" i="2"/>
  <c r="BT36" i="2"/>
  <c r="BN37" i="2"/>
  <c r="BR38" i="2"/>
  <c r="BY38" i="2"/>
  <c r="BT39" i="2"/>
  <c r="BN40" i="2"/>
  <c r="BR42" i="2"/>
  <c r="BY42" i="2"/>
  <c r="BT43" i="2"/>
  <c r="BN44" i="2"/>
  <c r="BT46" i="2"/>
  <c r="BR45" i="2"/>
  <c r="BY45" i="2"/>
  <c r="BN48" i="2"/>
  <c r="BR49" i="2"/>
  <c r="BY49" i="2"/>
  <c r="BT50" i="2"/>
  <c r="BN51" i="2"/>
  <c r="BR53" i="2"/>
  <c r="BY53" i="2"/>
  <c r="BT54" i="2"/>
  <c r="BN55" i="2"/>
  <c r="BR57" i="2"/>
  <c r="BY57" i="2"/>
  <c r="BT58" i="2"/>
  <c r="BN59" i="2"/>
  <c r="BR60" i="2"/>
  <c r="BY60" i="2"/>
  <c r="BT61" i="2"/>
  <c r="BN62" i="2"/>
  <c r="BR64" i="2"/>
  <c r="BY64" i="2"/>
  <c r="BT65" i="2"/>
  <c r="BN66" i="2"/>
  <c r="BZ9" i="2"/>
  <c r="BU11" i="2"/>
  <c r="BO12" i="2"/>
  <c r="BZ13" i="2"/>
  <c r="BU14" i="2"/>
  <c r="BU18" i="2"/>
  <c r="BO19" i="2"/>
  <c r="BZ20" i="2"/>
  <c r="BU21" i="2"/>
  <c r="BO22" i="2"/>
  <c r="BZ24" i="2"/>
  <c r="BU25" i="2"/>
  <c r="BO26" i="2"/>
  <c r="BZ28" i="2"/>
  <c r="BU29" i="2"/>
  <c r="BO30" i="2"/>
  <c r="BZ31" i="2"/>
  <c r="BU32" i="2"/>
  <c r="BO34" i="2"/>
  <c r="BZ35" i="2"/>
  <c r="BU36" i="2"/>
  <c r="BO37" i="2"/>
  <c r="BZ38" i="2"/>
  <c r="BU39" i="2"/>
  <c r="BO40" i="2"/>
  <c r="BZ42" i="2"/>
  <c r="BU43" i="2"/>
  <c r="BO44" i="2"/>
  <c r="BZ45" i="2"/>
  <c r="BU46" i="2"/>
  <c r="BO48" i="2"/>
  <c r="BZ49" i="2"/>
  <c r="BU50" i="2"/>
  <c r="BO51" i="2"/>
  <c r="BZ53" i="2"/>
  <c r="BU54" i="2"/>
  <c r="BO55" i="2"/>
  <c r="BZ57" i="2"/>
  <c r="BU58" i="2"/>
  <c r="BO59" i="2"/>
  <c r="BZ60" i="2"/>
  <c r="BU61" i="2"/>
  <c r="BO62" i="2"/>
  <c r="BZ64" i="2"/>
  <c r="BU65" i="2"/>
  <c r="BO66" i="2"/>
  <c r="BJ15" i="6"/>
  <c r="AX15" i="6"/>
  <c r="AL15" i="6"/>
  <c r="Z15" i="6"/>
  <c r="N15" i="6"/>
  <c r="BE20" i="6"/>
  <c r="AS20" i="6"/>
  <c r="AG20" i="6"/>
  <c r="U20" i="6"/>
  <c r="I20" i="6"/>
  <c r="BG19" i="6"/>
  <c r="AU19" i="6"/>
  <c r="AI19" i="6"/>
  <c r="W19" i="6"/>
  <c r="K19" i="6"/>
  <c r="AM17" i="6"/>
  <c r="E16" i="6"/>
  <c r="BF15" i="6"/>
  <c r="AT15" i="6"/>
  <c r="AH15" i="6"/>
  <c r="V15" i="6"/>
  <c r="J15" i="6"/>
  <c r="BM20" i="6"/>
  <c r="BA20" i="6"/>
  <c r="AO20" i="6"/>
  <c r="AC20" i="6"/>
  <c r="Q20" i="6"/>
  <c r="E20" i="6"/>
  <c r="BC19" i="6"/>
  <c r="AQ19" i="6"/>
  <c r="AE19" i="6"/>
  <c r="S19" i="6"/>
  <c r="I18" i="6"/>
  <c r="W17" i="6"/>
  <c r="AK16" i="6"/>
  <c r="I17" i="6"/>
  <c r="BG16" i="6"/>
  <c r="AU16" i="6"/>
  <c r="AI16" i="6"/>
  <c r="W16" i="6"/>
  <c r="K16" i="6"/>
  <c r="AB20" i="6"/>
  <c r="BF19" i="6"/>
  <c r="AP19" i="6"/>
  <c r="Z19" i="6"/>
  <c r="BC17" i="6"/>
  <c r="BA16" i="6"/>
  <c r="AZ19" i="6"/>
  <c r="D15" i="6"/>
  <c r="D24" i="6" s="1"/>
  <c r="AY15" i="6"/>
  <c r="AI15" i="6"/>
  <c r="S15" i="6"/>
  <c r="V20" i="6"/>
  <c r="F20" i="6"/>
  <c r="AJ19" i="6"/>
  <c r="T19" i="6"/>
  <c r="G19" i="6"/>
  <c r="BM18" i="6"/>
  <c r="BI18" i="6"/>
  <c r="BE18" i="6"/>
  <c r="BA18" i="6"/>
  <c r="AW18" i="6"/>
  <c r="AS18" i="6"/>
  <c r="AK18" i="6"/>
  <c r="AG18" i="6"/>
  <c r="AC18" i="6"/>
  <c r="Y18" i="6"/>
  <c r="U18" i="6"/>
  <c r="Q18" i="6"/>
  <c r="M18" i="6"/>
  <c r="E18" i="6"/>
  <c r="BK17" i="6"/>
  <c r="BG17" i="6"/>
  <c r="AY17" i="6"/>
  <c r="AU17" i="6"/>
  <c r="AQ17" i="6"/>
  <c r="AI17" i="6"/>
  <c r="AE17" i="6"/>
  <c r="AA17" i="6"/>
  <c r="S17" i="6"/>
  <c r="O17" i="6"/>
  <c r="K17" i="6"/>
  <c r="BM16" i="6"/>
  <c r="BI16" i="6"/>
  <c r="BE16" i="6"/>
  <c r="AW16" i="6"/>
  <c r="AS16" i="6"/>
  <c r="AO16" i="6"/>
  <c r="AG16" i="6"/>
  <c r="AC16" i="6"/>
  <c r="Y16" i="6"/>
  <c r="Q16" i="6"/>
  <c r="M16" i="6"/>
  <c r="I16" i="6"/>
  <c r="L20" i="6"/>
  <c r="J19" i="6"/>
  <c r="BK15" i="6"/>
  <c r="BG15" i="6"/>
  <c r="BC15" i="6"/>
  <c r="AU15" i="6"/>
  <c r="AQ15" i="6"/>
  <c r="AM15" i="6"/>
  <c r="AE15" i="6"/>
  <c r="AA15" i="6"/>
  <c r="W15" i="6"/>
  <c r="O15" i="6"/>
  <c r="K15" i="6"/>
  <c r="G15" i="6"/>
  <c r="BJ20" i="6"/>
  <c r="BF20" i="6"/>
  <c r="BB20" i="6"/>
  <c r="AX20" i="6"/>
  <c r="AT20" i="6"/>
  <c r="AP20" i="6"/>
  <c r="AL20" i="6"/>
  <c r="AH20" i="6"/>
  <c r="AD20" i="6"/>
  <c r="Z20" i="6"/>
  <c r="R20" i="6"/>
  <c r="N20" i="6"/>
  <c r="J20" i="6"/>
  <c r="BL19" i="6"/>
  <c r="BH19" i="6"/>
  <c r="BD19" i="6"/>
  <c r="AV19" i="6"/>
  <c r="AR19" i="6"/>
  <c r="AN19" i="6"/>
  <c r="AF19" i="6"/>
  <c r="AB19" i="6"/>
  <c r="X19" i="6"/>
  <c r="P19" i="6"/>
  <c r="L19" i="6"/>
  <c r="H19" i="6"/>
  <c r="D19" i="6"/>
  <c r="D28" i="6" s="1"/>
  <c r="BJ18" i="6"/>
  <c r="BF18" i="6"/>
  <c r="BB18" i="6"/>
  <c r="AX18" i="6"/>
  <c r="AT18" i="6"/>
  <c r="BM15" i="6"/>
  <c r="BI15" i="6"/>
  <c r="BE15" i="6"/>
  <c r="BA15" i="6"/>
  <c r="AW15" i="6"/>
  <c r="AS15" i="6"/>
  <c r="AO15" i="6"/>
  <c r="AK15" i="6"/>
  <c r="AG15" i="6"/>
  <c r="AC15" i="6"/>
  <c r="Y15" i="6"/>
  <c r="U15" i="6"/>
  <c r="Q15" i="6"/>
  <c r="M15" i="6"/>
  <c r="I15" i="6"/>
  <c r="E15" i="6"/>
  <c r="BL20" i="6"/>
  <c r="BH20" i="6"/>
  <c r="BD20" i="6"/>
  <c r="AZ20" i="6"/>
  <c r="AV20" i="6"/>
  <c r="AR20" i="6"/>
  <c r="AN20" i="6"/>
  <c r="AJ20" i="6"/>
  <c r="AF20" i="6"/>
  <c r="X20" i="6"/>
  <c r="T20" i="6"/>
  <c r="P20" i="6"/>
  <c r="H20" i="6"/>
  <c r="D20" i="6"/>
  <c r="D29" i="6" s="1"/>
  <c r="BJ19" i="6"/>
  <c r="BB19" i="6"/>
  <c r="AX19" i="6"/>
  <c r="AT19" i="6"/>
  <c r="AL19" i="6"/>
  <c r="AH19" i="6"/>
  <c r="AD19" i="6"/>
  <c r="V19" i="6"/>
  <c r="R19" i="6"/>
  <c r="N19" i="6"/>
  <c r="F19" i="6"/>
  <c r="BL18" i="6"/>
  <c r="BH18" i="6"/>
  <c r="BD18" i="6"/>
  <c r="AZ18" i="6"/>
  <c r="AV18" i="6"/>
  <c r="AR18" i="6"/>
  <c r="AN18" i="6"/>
  <c r="AJ18" i="6"/>
  <c r="AF18" i="6"/>
  <c r="AB18" i="6"/>
  <c r="X18" i="6"/>
  <c r="T18" i="6"/>
  <c r="P18" i="6"/>
  <c r="L18" i="6"/>
  <c r="AP18" i="6"/>
  <c r="AL18" i="6"/>
  <c r="AH18" i="6"/>
  <c r="AD18" i="6"/>
  <c r="Z18" i="6"/>
  <c r="V18" i="6"/>
  <c r="R18" i="6"/>
  <c r="N18" i="6"/>
  <c r="J18" i="6"/>
  <c r="F18" i="6"/>
  <c r="BL17" i="6"/>
  <c r="BH17" i="6"/>
  <c r="BD17" i="6"/>
  <c r="AZ17" i="6"/>
  <c r="AV17" i="6"/>
  <c r="AR17" i="6"/>
  <c r="AN17" i="6"/>
  <c r="AJ17" i="6"/>
  <c r="AF17" i="6"/>
  <c r="AB17" i="6"/>
  <c r="X17" i="6"/>
  <c r="T17" i="6"/>
  <c r="P17" i="6"/>
  <c r="L17" i="6"/>
  <c r="H17" i="6"/>
  <c r="D17" i="6"/>
  <c r="D26" i="6" s="1"/>
  <c r="BJ16" i="6"/>
  <c r="BF16" i="6"/>
  <c r="BB16" i="6"/>
  <c r="AX16" i="6"/>
  <c r="AT16" i="6"/>
  <c r="AP16" i="6"/>
  <c r="AL16" i="6"/>
  <c r="AH16" i="6"/>
  <c r="AD16" i="6"/>
  <c r="Z16" i="6"/>
  <c r="V16" i="6"/>
  <c r="R16" i="6"/>
  <c r="N16" i="6"/>
  <c r="J16" i="6"/>
  <c r="F16" i="6"/>
  <c r="H18" i="6"/>
  <c r="D18" i="6"/>
  <c r="D27" i="6" s="1"/>
  <c r="BJ17" i="6"/>
  <c r="BF17" i="6"/>
  <c r="BB17" i="6"/>
  <c r="AX17" i="6"/>
  <c r="AT17" i="6"/>
  <c r="AP17" i="6"/>
  <c r="AL17" i="6"/>
  <c r="AH17" i="6"/>
  <c r="AD17" i="6"/>
  <c r="Z17" i="6"/>
  <c r="V17" i="6"/>
  <c r="R17" i="6"/>
  <c r="N17" i="6"/>
  <c r="J17" i="6"/>
  <c r="F17" i="6"/>
  <c r="BL16" i="6"/>
  <c r="BH16" i="6"/>
  <c r="BD16" i="6"/>
  <c r="AZ16" i="6"/>
  <c r="AV16" i="6"/>
  <c r="AR16" i="6"/>
  <c r="AN16" i="6"/>
  <c r="AJ16" i="6"/>
  <c r="AF16" i="6"/>
  <c r="AB16" i="6"/>
  <c r="X16" i="6"/>
  <c r="T16" i="6"/>
  <c r="P16" i="6"/>
  <c r="L16" i="6"/>
  <c r="H16" i="6"/>
  <c r="D16" i="6"/>
  <c r="D25" i="6" s="1"/>
  <c r="E28" i="6" l="1"/>
  <c r="E26" i="6"/>
  <c r="BZ52" i="2"/>
  <c r="D45" i="4" s="1"/>
  <c r="BZ3" i="2"/>
  <c r="D36" i="4" s="1"/>
  <c r="BZ47" i="2"/>
  <c r="D44" i="4" s="1"/>
  <c r="BZ33" i="2"/>
  <c r="D41" i="4" s="1"/>
  <c r="BZ27" i="2"/>
  <c r="D40" i="4" s="1"/>
  <c r="BZ17" i="2"/>
  <c r="D38" i="4" s="1"/>
  <c r="BZ41" i="2"/>
  <c r="D42" i="4" s="1"/>
  <c r="BZ23" i="2"/>
  <c r="D39" i="4" s="1"/>
  <c r="BZ56" i="2"/>
  <c r="D43" i="4" s="1"/>
  <c r="BZ63" i="2"/>
  <c r="D46" i="4" s="1"/>
  <c r="BZ70" i="2"/>
  <c r="CA71" i="2" s="1"/>
  <c r="CA72" i="2" s="1"/>
  <c r="BZ10" i="2"/>
  <c r="D37" i="4" s="1"/>
  <c r="BW70" i="2"/>
  <c r="BT70" i="2"/>
  <c r="BP70" i="2"/>
  <c r="BR70" i="2"/>
  <c r="BX70" i="2"/>
  <c r="BN70" i="2"/>
  <c r="BQ70" i="2"/>
  <c r="BU70" i="2"/>
  <c r="BV70" i="2"/>
  <c r="BS70" i="2"/>
  <c r="BO70" i="2"/>
  <c r="BY70" i="2"/>
  <c r="E25" i="6"/>
  <c r="F25" i="6" s="1"/>
  <c r="G25" i="6" s="1"/>
  <c r="H25" i="6" s="1"/>
  <c r="I25" i="6" s="1"/>
  <c r="J25" i="6" s="1"/>
  <c r="K25" i="6" s="1"/>
  <c r="L25" i="6" s="1"/>
  <c r="M25" i="6" s="1"/>
  <c r="N25" i="6" s="1"/>
  <c r="O25" i="6" s="1"/>
  <c r="P25" i="6" s="1"/>
  <c r="Q25" i="6" s="1"/>
  <c r="R25" i="6" s="1"/>
  <c r="S25" i="6" s="1"/>
  <c r="T25" i="6" s="1"/>
  <c r="U25" i="6" s="1"/>
  <c r="V25" i="6" s="1"/>
  <c r="W25" i="6" s="1"/>
  <c r="X25" i="6" s="1"/>
  <c r="Y25" i="6" s="1"/>
  <c r="Z25" i="6" s="1"/>
  <c r="AA25" i="6" s="1"/>
  <c r="AB25" i="6" s="1"/>
  <c r="AC25" i="6" s="1"/>
  <c r="AD25" i="6" s="1"/>
  <c r="AE25" i="6" s="1"/>
  <c r="AF25" i="6" s="1"/>
  <c r="AG25" i="6" s="1"/>
  <c r="AH25" i="6" s="1"/>
  <c r="AI25" i="6" s="1"/>
  <c r="AJ25" i="6" s="1"/>
  <c r="AK25" i="6" s="1"/>
  <c r="AL25" i="6" s="1"/>
  <c r="AM25" i="6" s="1"/>
  <c r="AN25" i="6" s="1"/>
  <c r="AO25" i="6" s="1"/>
  <c r="AP25" i="6" s="1"/>
  <c r="AQ25" i="6" s="1"/>
  <c r="AR25" i="6" s="1"/>
  <c r="AS25" i="6" s="1"/>
  <c r="AT25" i="6" s="1"/>
  <c r="AU25" i="6" s="1"/>
  <c r="AV25" i="6" s="1"/>
  <c r="AW25" i="6" s="1"/>
  <c r="AX25" i="6" s="1"/>
  <c r="AY25" i="6" s="1"/>
  <c r="AZ25" i="6" s="1"/>
  <c r="BA25" i="6" s="1"/>
  <c r="BB25" i="6" s="1"/>
  <c r="BC25" i="6" s="1"/>
  <c r="BD25" i="6" s="1"/>
  <c r="BE25" i="6" s="1"/>
  <c r="BF25" i="6" s="1"/>
  <c r="BG25" i="6" s="1"/>
  <c r="BH25" i="6" s="1"/>
  <c r="BI25" i="6" s="1"/>
  <c r="BJ25" i="6" s="1"/>
  <c r="BK25" i="6" s="1"/>
  <c r="BL25" i="6" s="1"/>
  <c r="BM25" i="6" s="1"/>
  <c r="E29" i="6"/>
  <c r="F29" i="6" s="1"/>
  <c r="G29" i="6" s="1"/>
  <c r="H29" i="6" s="1"/>
  <c r="I29" i="6" s="1"/>
  <c r="J29" i="6" s="1"/>
  <c r="K29" i="6" s="1"/>
  <c r="L29" i="6" s="1"/>
  <c r="M29" i="6" s="1"/>
  <c r="N29" i="6" s="1"/>
  <c r="O29" i="6" s="1"/>
  <c r="P29" i="6" s="1"/>
  <c r="Q29" i="6" s="1"/>
  <c r="R29" i="6" s="1"/>
  <c r="S29" i="6" s="1"/>
  <c r="T29" i="6" s="1"/>
  <c r="U29" i="6" s="1"/>
  <c r="V29" i="6" s="1"/>
  <c r="W29" i="6" s="1"/>
  <c r="X29" i="6" s="1"/>
  <c r="Y29" i="6" s="1"/>
  <c r="Z29" i="6" s="1"/>
  <c r="AA29" i="6" s="1"/>
  <c r="AB29" i="6" s="1"/>
  <c r="AC29" i="6" s="1"/>
  <c r="AD29" i="6" s="1"/>
  <c r="AE29" i="6" s="1"/>
  <c r="AF29" i="6" s="1"/>
  <c r="AG29" i="6" s="1"/>
  <c r="AH29" i="6" s="1"/>
  <c r="AI29" i="6" s="1"/>
  <c r="AJ29" i="6" s="1"/>
  <c r="AK29" i="6" s="1"/>
  <c r="AL29" i="6" s="1"/>
  <c r="AM29" i="6" s="1"/>
  <c r="AN29" i="6" s="1"/>
  <c r="AO29" i="6" s="1"/>
  <c r="AP29" i="6" s="1"/>
  <c r="AQ29" i="6" s="1"/>
  <c r="AR29" i="6" s="1"/>
  <c r="AS29" i="6" s="1"/>
  <c r="AT29" i="6" s="1"/>
  <c r="AU29" i="6" s="1"/>
  <c r="AV29" i="6" s="1"/>
  <c r="AW29" i="6" s="1"/>
  <c r="AX29" i="6" s="1"/>
  <c r="AY29" i="6" s="1"/>
  <c r="AZ29" i="6" s="1"/>
  <c r="BA29" i="6" s="1"/>
  <c r="BB29" i="6" s="1"/>
  <c r="BC29" i="6" s="1"/>
  <c r="BD29" i="6" s="1"/>
  <c r="BE29" i="6" s="1"/>
  <c r="BF29" i="6" s="1"/>
  <c r="BG29" i="6" s="1"/>
  <c r="BH29" i="6" s="1"/>
  <c r="BI29" i="6" s="1"/>
  <c r="BJ29" i="6" s="1"/>
  <c r="BK29" i="6" s="1"/>
  <c r="BL29" i="6" s="1"/>
  <c r="BM29" i="6" s="1"/>
  <c r="E24" i="6"/>
  <c r="F24" i="6" s="1"/>
  <c r="G24" i="6" s="1"/>
  <c r="H24" i="6" s="1"/>
  <c r="I24" i="6" s="1"/>
  <c r="J24" i="6" s="1"/>
  <c r="K24" i="6" s="1"/>
  <c r="L24" i="6" s="1"/>
  <c r="M24" i="6" s="1"/>
  <c r="N24" i="6" s="1"/>
  <c r="O24" i="6" s="1"/>
  <c r="P24" i="6" s="1"/>
  <c r="Q24" i="6" s="1"/>
  <c r="R24" i="6" s="1"/>
  <c r="S24" i="6" s="1"/>
  <c r="T24" i="6" s="1"/>
  <c r="U24" i="6" s="1"/>
  <c r="V24" i="6" s="1"/>
  <c r="W24" i="6" s="1"/>
  <c r="X24" i="6" s="1"/>
  <c r="Y24" i="6" s="1"/>
  <c r="Z24" i="6" s="1"/>
  <c r="AA24" i="6" s="1"/>
  <c r="AB24" i="6" s="1"/>
  <c r="AC24" i="6" s="1"/>
  <c r="AD24" i="6" s="1"/>
  <c r="AE24" i="6" s="1"/>
  <c r="AF24" i="6" s="1"/>
  <c r="AG24" i="6" s="1"/>
  <c r="AH24" i="6" s="1"/>
  <c r="AI24" i="6" s="1"/>
  <c r="AJ24" i="6" s="1"/>
  <c r="AK24" i="6" s="1"/>
  <c r="AL24" i="6" s="1"/>
  <c r="AM24" i="6" s="1"/>
  <c r="AN24" i="6" s="1"/>
  <c r="AO24" i="6" s="1"/>
  <c r="AP24" i="6" s="1"/>
  <c r="AQ24" i="6" s="1"/>
  <c r="AR24" i="6" s="1"/>
  <c r="AS24" i="6" s="1"/>
  <c r="AT24" i="6" s="1"/>
  <c r="AU24" i="6" s="1"/>
  <c r="AV24" i="6" s="1"/>
  <c r="AW24" i="6" s="1"/>
  <c r="AX24" i="6" s="1"/>
  <c r="AY24" i="6" s="1"/>
  <c r="AZ24" i="6" s="1"/>
  <c r="BA24" i="6" s="1"/>
  <c r="BB24" i="6" s="1"/>
  <c r="BC24" i="6" s="1"/>
  <c r="BD24" i="6" s="1"/>
  <c r="BE24" i="6" s="1"/>
  <c r="BF24" i="6" s="1"/>
  <c r="BG24" i="6" s="1"/>
  <c r="BH24" i="6" s="1"/>
  <c r="BI24" i="6" s="1"/>
  <c r="BJ24" i="6" s="1"/>
  <c r="BK24" i="6" s="1"/>
  <c r="BL24" i="6" s="1"/>
  <c r="BM24" i="6" s="1"/>
  <c r="E27" i="6"/>
  <c r="F27" i="6" s="1"/>
  <c r="G27" i="6" s="1"/>
  <c r="H27" i="6" s="1"/>
  <c r="I27" i="6" s="1"/>
  <c r="J27" i="6" s="1"/>
  <c r="K27" i="6" s="1"/>
  <c r="L27" i="6" s="1"/>
  <c r="M27" i="6" s="1"/>
  <c r="N27" i="6" s="1"/>
  <c r="O27" i="6" s="1"/>
  <c r="P27" i="6" s="1"/>
  <c r="Q27" i="6" s="1"/>
  <c r="R27" i="6" s="1"/>
  <c r="S27" i="6" s="1"/>
  <c r="T27" i="6" s="1"/>
  <c r="U27" i="6" s="1"/>
  <c r="V27" i="6" s="1"/>
  <c r="W27" i="6" s="1"/>
  <c r="X27" i="6" s="1"/>
  <c r="Y27" i="6" s="1"/>
  <c r="Z27" i="6" s="1"/>
  <c r="AA27" i="6" s="1"/>
  <c r="AB27" i="6" s="1"/>
  <c r="AC27" i="6" s="1"/>
  <c r="AD27" i="6" s="1"/>
  <c r="AE27" i="6" s="1"/>
  <c r="AF27" i="6" s="1"/>
  <c r="AG27" i="6" s="1"/>
  <c r="AH27" i="6" s="1"/>
  <c r="AI27" i="6" s="1"/>
  <c r="AJ27" i="6" s="1"/>
  <c r="AK27" i="6" s="1"/>
  <c r="AL27" i="6" s="1"/>
  <c r="AM27" i="6" s="1"/>
  <c r="AN27" i="6" s="1"/>
  <c r="AO27" i="6" s="1"/>
  <c r="AP27" i="6" s="1"/>
  <c r="AQ27" i="6" s="1"/>
  <c r="AR27" i="6" s="1"/>
  <c r="AS27" i="6" s="1"/>
  <c r="AT27" i="6" s="1"/>
  <c r="AU27" i="6" s="1"/>
  <c r="AV27" i="6" s="1"/>
  <c r="AW27" i="6" s="1"/>
  <c r="AX27" i="6" s="1"/>
  <c r="AY27" i="6" s="1"/>
  <c r="AZ27" i="6" s="1"/>
  <c r="BA27" i="6" s="1"/>
  <c r="BB27" i="6" s="1"/>
  <c r="BC27" i="6" s="1"/>
  <c r="BD27" i="6" s="1"/>
  <c r="BE27" i="6" s="1"/>
  <c r="BF27" i="6" s="1"/>
  <c r="BG27" i="6" s="1"/>
  <c r="BH27" i="6" s="1"/>
  <c r="BI27" i="6" s="1"/>
  <c r="BJ27" i="6" s="1"/>
  <c r="BK27" i="6" s="1"/>
  <c r="BL27" i="6" s="1"/>
  <c r="BM27" i="6" s="1"/>
  <c r="F26" i="6"/>
  <c r="G26" i="6" s="1"/>
  <c r="H26" i="6" s="1"/>
  <c r="I26" i="6" s="1"/>
  <c r="J26" i="6" s="1"/>
  <c r="K26" i="6" s="1"/>
  <c r="L26" i="6" s="1"/>
  <c r="M26" i="6" s="1"/>
  <c r="N26" i="6" s="1"/>
  <c r="O26" i="6" s="1"/>
  <c r="P26" i="6" s="1"/>
  <c r="Q26" i="6" s="1"/>
  <c r="R26" i="6" s="1"/>
  <c r="S26" i="6" s="1"/>
  <c r="T26" i="6" s="1"/>
  <c r="U26" i="6" s="1"/>
  <c r="V26" i="6" s="1"/>
  <c r="W26" i="6" s="1"/>
  <c r="X26" i="6" s="1"/>
  <c r="Y26" i="6" s="1"/>
  <c r="Z26" i="6" s="1"/>
  <c r="AA26" i="6" s="1"/>
  <c r="AB26" i="6" s="1"/>
  <c r="AC26" i="6" s="1"/>
  <c r="AD26" i="6" s="1"/>
  <c r="AE26" i="6" s="1"/>
  <c r="AF26" i="6" s="1"/>
  <c r="AG26" i="6" s="1"/>
  <c r="AH26" i="6" s="1"/>
  <c r="AI26" i="6" s="1"/>
  <c r="AJ26" i="6" s="1"/>
  <c r="AK26" i="6" s="1"/>
  <c r="AL26" i="6" s="1"/>
  <c r="AM26" i="6" s="1"/>
  <c r="AN26" i="6" s="1"/>
  <c r="AO26" i="6" s="1"/>
  <c r="AP26" i="6" s="1"/>
  <c r="AQ26" i="6" s="1"/>
  <c r="AR26" i="6" s="1"/>
  <c r="AS26" i="6" s="1"/>
  <c r="AT26" i="6" s="1"/>
  <c r="AU26" i="6" s="1"/>
  <c r="AV26" i="6" s="1"/>
  <c r="AW26" i="6" s="1"/>
  <c r="AX26" i="6" s="1"/>
  <c r="AY26" i="6" s="1"/>
  <c r="AZ26" i="6" s="1"/>
  <c r="BA26" i="6" s="1"/>
  <c r="BB26" i="6" s="1"/>
  <c r="BC26" i="6" s="1"/>
  <c r="BD26" i="6" s="1"/>
  <c r="BE26" i="6" s="1"/>
  <c r="BF26" i="6" s="1"/>
  <c r="BG26" i="6" s="1"/>
  <c r="BH26" i="6" s="1"/>
  <c r="BI26" i="6" s="1"/>
  <c r="BJ26" i="6" s="1"/>
  <c r="BK26" i="6" s="1"/>
  <c r="BL26" i="6" s="1"/>
  <c r="BM26" i="6" s="1"/>
  <c r="F28" i="6"/>
  <c r="G28" i="6" s="1"/>
  <c r="H28" i="6" s="1"/>
  <c r="I28" i="6" s="1"/>
  <c r="J28" i="6" s="1"/>
  <c r="K28" i="6" s="1"/>
  <c r="L28" i="6" s="1"/>
  <c r="M28" i="6" s="1"/>
  <c r="N28" i="6" s="1"/>
  <c r="O28" i="6" s="1"/>
  <c r="P28" i="6" s="1"/>
  <c r="Q28" i="6" s="1"/>
  <c r="R28" i="6" s="1"/>
  <c r="S28" i="6" s="1"/>
  <c r="T28" i="6" s="1"/>
  <c r="U28" i="6" s="1"/>
  <c r="V28" i="6" s="1"/>
  <c r="W28" i="6" s="1"/>
  <c r="X28" i="6" s="1"/>
  <c r="Y28" i="6" s="1"/>
  <c r="Z28" i="6" s="1"/>
  <c r="AA28" i="6" s="1"/>
  <c r="AB28" i="6" s="1"/>
  <c r="AC28" i="6" s="1"/>
  <c r="AD28" i="6" s="1"/>
  <c r="AE28" i="6" s="1"/>
  <c r="AF28" i="6" s="1"/>
  <c r="AG28" i="6" s="1"/>
  <c r="AH28" i="6" s="1"/>
  <c r="AI28" i="6" s="1"/>
  <c r="AJ28" i="6" s="1"/>
  <c r="AK28" i="6" s="1"/>
  <c r="AL28" i="6" s="1"/>
  <c r="AM28" i="6" s="1"/>
  <c r="AN28" i="6" s="1"/>
  <c r="AO28" i="6" s="1"/>
  <c r="AP28" i="6" s="1"/>
  <c r="AQ28" i="6" s="1"/>
  <c r="AR28" i="6" s="1"/>
  <c r="AS28" i="6" s="1"/>
  <c r="AT28" i="6" s="1"/>
  <c r="AU28" i="6" s="1"/>
  <c r="AV28" i="6" s="1"/>
  <c r="AW28" i="6" s="1"/>
  <c r="AX28" i="6" s="1"/>
  <c r="AY28" i="6" s="1"/>
  <c r="AZ28" i="6" s="1"/>
  <c r="BA28" i="6" s="1"/>
  <c r="BB28" i="6" s="1"/>
  <c r="BC28" i="6" s="1"/>
  <c r="BD28" i="6" s="1"/>
  <c r="BE28" i="6" s="1"/>
  <c r="BF28" i="6" s="1"/>
  <c r="BG28" i="6" s="1"/>
  <c r="BH28" i="6" s="1"/>
  <c r="BI28" i="6" s="1"/>
  <c r="BJ28" i="6" s="1"/>
  <c r="BK28" i="6" s="1"/>
  <c r="BL28" i="6" s="1"/>
  <c r="BM28" i="6" s="1"/>
  <c r="DL5" i="2"/>
  <c r="DM5" i="2" s="1"/>
  <c r="DL9" i="2"/>
  <c r="DM9" i="2" s="1"/>
  <c r="DL8" i="2"/>
  <c r="DM8" i="2" s="1"/>
  <c r="DL7" i="2"/>
  <c r="DM7" i="2" s="1"/>
  <c r="DL6" i="2"/>
  <c r="DM6" i="2" s="1"/>
  <c r="DL4" i="2"/>
  <c r="DM4" i="2" s="1"/>
  <c r="BP21" i="6"/>
  <c r="BZ71" i="2" l="1"/>
  <c r="BZ72" i="2" s="1"/>
  <c r="D48" i="4"/>
  <c r="BV71" i="2"/>
  <c r="BV72" i="2" s="1"/>
  <c r="BU71" i="2"/>
  <c r="BU72" i="2" s="1"/>
  <c r="BX71" i="2"/>
  <c r="BX72" i="2" s="1"/>
  <c r="BY71" i="2"/>
  <c r="BY72" i="2" s="1"/>
  <c r="BR71" i="2"/>
  <c r="BR72" i="2" s="1"/>
  <c r="BP71" i="2"/>
  <c r="BP72" i="2" s="1"/>
  <c r="BQ71" i="2"/>
  <c r="BQ72" i="2" s="1"/>
  <c r="BW71" i="2"/>
  <c r="BW72" i="2" s="1"/>
  <c r="BS71" i="2"/>
  <c r="BS72" i="2" s="1"/>
  <c r="BT71" i="2"/>
  <c r="BT72" i="2" s="1"/>
  <c r="BO71" i="2"/>
  <c r="BO72" i="2" s="1"/>
  <c r="DN6" i="2"/>
  <c r="DN4" i="2"/>
  <c r="DN7" i="2"/>
  <c r="DN8" i="2"/>
  <c r="DN5" i="2"/>
  <c r="DN9" i="2"/>
  <c r="T124" i="6"/>
  <c r="U124" i="6" s="1"/>
  <c r="T123" i="6"/>
  <c r="U123" i="6" s="1"/>
  <c r="T122" i="6"/>
  <c r="U122" i="6"/>
  <c r="P128" i="6"/>
  <c r="P127" i="6"/>
  <c r="P126" i="6"/>
  <c r="P125" i="6"/>
  <c r="P124" i="6"/>
  <c r="P123" i="6"/>
  <c r="P122" i="6"/>
  <c r="P121" i="6"/>
  <c r="P120" i="6"/>
  <c r="P119" i="6"/>
  <c r="P118" i="6"/>
  <c r="G20" i="4" l="1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19" i="4"/>
  <c r="I19" i="4" s="1"/>
  <c r="E20" i="4"/>
  <c r="E21" i="4"/>
  <c r="E22" i="4"/>
  <c r="E23" i="4"/>
  <c r="E24" i="4"/>
  <c r="E25" i="4"/>
  <c r="E26" i="4"/>
  <c r="E27" i="4"/>
  <c r="E28" i="4"/>
  <c r="E29" i="4"/>
  <c r="E19" i="4"/>
  <c r="AS14" i="6" l="1"/>
  <c r="BD14" i="6"/>
  <c r="H14" i="6"/>
  <c r="AQ14" i="6"/>
  <c r="BB14" i="6"/>
  <c r="AD14" i="6"/>
  <c r="AO14" i="6"/>
  <c r="E14" i="6"/>
  <c r="AZ14" i="6"/>
  <c r="P14" i="6"/>
  <c r="AY14" i="6"/>
  <c r="AA14" i="6"/>
  <c r="AX14" i="6"/>
  <c r="N14" i="6"/>
  <c r="BI14" i="6"/>
  <c r="AW14" i="6"/>
  <c r="AK14" i="6"/>
  <c r="Y14" i="6"/>
  <c r="M14" i="6"/>
  <c r="BE14" i="6"/>
  <c r="U14" i="6"/>
  <c r="T14" i="6"/>
  <c r="S14" i="6"/>
  <c r="AP14" i="6"/>
  <c r="BM14" i="6"/>
  <c r="BA14" i="6"/>
  <c r="Q14" i="6"/>
  <c r="AN14" i="6"/>
  <c r="AB14" i="6"/>
  <c r="BK14" i="6"/>
  <c r="AM14" i="6"/>
  <c r="BJ14" i="6"/>
  <c r="Z14" i="6"/>
  <c r="BH14" i="6"/>
  <c r="AV14" i="6"/>
  <c r="AJ14" i="6"/>
  <c r="X14" i="6"/>
  <c r="L14" i="6"/>
  <c r="I14" i="6"/>
  <c r="AF14" i="6"/>
  <c r="AE14" i="6"/>
  <c r="R14" i="6"/>
  <c r="AC14" i="6"/>
  <c r="BL14" i="6"/>
  <c r="D14" i="6"/>
  <c r="D23" i="6" s="1"/>
  <c r="O14" i="6"/>
  <c r="AL14" i="6"/>
  <c r="BG14" i="6"/>
  <c r="AU14" i="6"/>
  <c r="AI14" i="6"/>
  <c r="W14" i="6"/>
  <c r="K14" i="6"/>
  <c r="AG14" i="6"/>
  <c r="AR14" i="6"/>
  <c r="BC14" i="6"/>
  <c r="G14" i="6"/>
  <c r="F14" i="6"/>
  <c r="BF14" i="6"/>
  <c r="AT14" i="6"/>
  <c r="AH14" i="6"/>
  <c r="V14" i="6"/>
  <c r="J14" i="6"/>
  <c r="BB13" i="6"/>
  <c r="AP13" i="6"/>
  <c r="BA13" i="6"/>
  <c r="Q13" i="6"/>
  <c r="BL13" i="6"/>
  <c r="AB13" i="6"/>
  <c r="BK13" i="6"/>
  <c r="O13" i="6"/>
  <c r="AX13" i="6"/>
  <c r="AL13" i="6"/>
  <c r="N13" i="6"/>
  <c r="BI13" i="6"/>
  <c r="AW13" i="6"/>
  <c r="AK13" i="6"/>
  <c r="Y13" i="6"/>
  <c r="M13" i="6"/>
  <c r="AD13" i="6"/>
  <c r="BM13" i="6"/>
  <c r="E13" i="6"/>
  <c r="AZ13" i="6"/>
  <c r="D13" i="6"/>
  <c r="D22" i="6" s="1"/>
  <c r="AM13" i="6"/>
  <c r="BJ13" i="6"/>
  <c r="Z13" i="6"/>
  <c r="BH13" i="6"/>
  <c r="AV13" i="6"/>
  <c r="AJ13" i="6"/>
  <c r="X13" i="6"/>
  <c r="L13" i="6"/>
  <c r="BG13" i="6"/>
  <c r="AU13" i="6"/>
  <c r="AI13" i="6"/>
  <c r="W13" i="6"/>
  <c r="K13" i="6"/>
  <c r="R13" i="6"/>
  <c r="AC13" i="6"/>
  <c r="AN13" i="6"/>
  <c r="AY13" i="6"/>
  <c r="BF13" i="6"/>
  <c r="AT13" i="6"/>
  <c r="AH13" i="6"/>
  <c r="V13" i="6"/>
  <c r="J13" i="6"/>
  <c r="BE13" i="6"/>
  <c r="AS13" i="6"/>
  <c r="AG13" i="6"/>
  <c r="U13" i="6"/>
  <c r="I13" i="6"/>
  <c r="F13" i="6"/>
  <c r="AO13" i="6"/>
  <c r="P13" i="6"/>
  <c r="AA13" i="6"/>
  <c r="BD13" i="6"/>
  <c r="AR13" i="6"/>
  <c r="AF13" i="6"/>
  <c r="T13" i="6"/>
  <c r="H13" i="6"/>
  <c r="BC13" i="6"/>
  <c r="AQ13" i="6"/>
  <c r="AE13" i="6"/>
  <c r="S13" i="6"/>
  <c r="G13" i="6"/>
  <c r="E3" i="4"/>
  <c r="E4" i="4"/>
  <c r="E5" i="4"/>
  <c r="E6" i="4"/>
  <c r="E7" i="4"/>
  <c r="E8" i="4"/>
  <c r="E9" i="4"/>
  <c r="E10" i="4"/>
  <c r="E11" i="4"/>
  <c r="E12" i="4"/>
  <c r="E13" i="4"/>
  <c r="E37" i="1"/>
  <c r="F38" i="1" s="1"/>
  <c r="BK75" i="2"/>
  <c r="BK76" i="2" s="1"/>
  <c r="BL75" i="2"/>
  <c r="BL76" i="2" s="1"/>
  <c r="BM75" i="2"/>
  <c r="BM76" i="2" s="1"/>
  <c r="BK2" i="2"/>
  <c r="BL2" i="2" s="1"/>
  <c r="E23" i="6" l="1"/>
  <c r="F23" i="6" s="1"/>
  <c r="G23" i="6" s="1"/>
  <c r="H23" i="6" s="1"/>
  <c r="I23" i="6" s="1"/>
  <c r="J23" i="6" s="1"/>
  <c r="K23" i="6" s="1"/>
  <c r="L23" i="6" s="1"/>
  <c r="M23" i="6" s="1"/>
  <c r="N23" i="6" s="1"/>
  <c r="O23" i="6" s="1"/>
  <c r="P23" i="6" s="1"/>
  <c r="Q23" i="6" s="1"/>
  <c r="R23" i="6" s="1"/>
  <c r="S23" i="6" s="1"/>
  <c r="T23" i="6" s="1"/>
  <c r="U23" i="6" s="1"/>
  <c r="V23" i="6" s="1"/>
  <c r="W23" i="6" s="1"/>
  <c r="X23" i="6" s="1"/>
  <c r="Y23" i="6" s="1"/>
  <c r="Z23" i="6" s="1"/>
  <c r="AA23" i="6" s="1"/>
  <c r="AB23" i="6" s="1"/>
  <c r="AC23" i="6" s="1"/>
  <c r="AD23" i="6" s="1"/>
  <c r="AE23" i="6" s="1"/>
  <c r="AF23" i="6" s="1"/>
  <c r="AG23" i="6" s="1"/>
  <c r="AH23" i="6" s="1"/>
  <c r="AI23" i="6" s="1"/>
  <c r="AJ23" i="6" s="1"/>
  <c r="AK23" i="6" s="1"/>
  <c r="AL23" i="6" s="1"/>
  <c r="AM23" i="6" s="1"/>
  <c r="AN23" i="6" s="1"/>
  <c r="AO23" i="6" s="1"/>
  <c r="AP23" i="6" s="1"/>
  <c r="AQ23" i="6" s="1"/>
  <c r="AR23" i="6" s="1"/>
  <c r="AS23" i="6" s="1"/>
  <c r="AT23" i="6" s="1"/>
  <c r="AU23" i="6" s="1"/>
  <c r="AV23" i="6" s="1"/>
  <c r="AW23" i="6" s="1"/>
  <c r="AX23" i="6" s="1"/>
  <c r="AY23" i="6" s="1"/>
  <c r="AZ23" i="6" s="1"/>
  <c r="BA23" i="6" s="1"/>
  <c r="BB23" i="6" s="1"/>
  <c r="BC23" i="6" s="1"/>
  <c r="BD23" i="6" s="1"/>
  <c r="BE23" i="6" s="1"/>
  <c r="BF23" i="6" s="1"/>
  <c r="BG23" i="6" s="1"/>
  <c r="BH23" i="6" s="1"/>
  <c r="BI23" i="6" s="1"/>
  <c r="BJ23" i="6" s="1"/>
  <c r="BK23" i="6" s="1"/>
  <c r="BL23" i="6" s="1"/>
  <c r="BM23" i="6" s="1"/>
  <c r="E22" i="6"/>
  <c r="F22" i="6" s="1"/>
  <c r="G22" i="6" s="1"/>
  <c r="H22" i="6" s="1"/>
  <c r="I22" i="6" s="1"/>
  <c r="J22" i="6" s="1"/>
  <c r="K22" i="6" s="1"/>
  <c r="L22" i="6" s="1"/>
  <c r="M22" i="6" s="1"/>
  <c r="N22" i="6" s="1"/>
  <c r="O22" i="6" s="1"/>
  <c r="P22" i="6" s="1"/>
  <c r="Q22" i="6" s="1"/>
  <c r="R22" i="6" s="1"/>
  <c r="S22" i="6" s="1"/>
  <c r="T22" i="6" s="1"/>
  <c r="U22" i="6" s="1"/>
  <c r="V22" i="6" s="1"/>
  <c r="W22" i="6" s="1"/>
  <c r="X22" i="6" s="1"/>
  <c r="Y22" i="6" s="1"/>
  <c r="Z22" i="6" s="1"/>
  <c r="AA22" i="6" s="1"/>
  <c r="AB22" i="6" s="1"/>
  <c r="AC22" i="6" s="1"/>
  <c r="AD22" i="6" s="1"/>
  <c r="AE22" i="6" s="1"/>
  <c r="AF22" i="6" s="1"/>
  <c r="AG22" i="6" s="1"/>
  <c r="AH22" i="6" s="1"/>
  <c r="AI22" i="6" s="1"/>
  <c r="AJ22" i="6" s="1"/>
  <c r="AK22" i="6" s="1"/>
  <c r="AL22" i="6" s="1"/>
  <c r="AM22" i="6" s="1"/>
  <c r="AN22" i="6" s="1"/>
  <c r="AO22" i="6" s="1"/>
  <c r="AP22" i="6" s="1"/>
  <c r="AQ22" i="6" s="1"/>
  <c r="AR22" i="6" s="1"/>
  <c r="AS22" i="6" s="1"/>
  <c r="AT22" i="6" s="1"/>
  <c r="AU22" i="6" s="1"/>
  <c r="AV22" i="6" s="1"/>
  <c r="AW22" i="6" s="1"/>
  <c r="AX22" i="6" s="1"/>
  <c r="AY22" i="6" s="1"/>
  <c r="AZ22" i="6" s="1"/>
  <c r="BA22" i="6" s="1"/>
  <c r="BB22" i="6" s="1"/>
  <c r="BC22" i="6" s="1"/>
  <c r="BD22" i="6" s="1"/>
  <c r="BE22" i="6" s="1"/>
  <c r="BF22" i="6" s="1"/>
  <c r="BG22" i="6" s="1"/>
  <c r="BH22" i="6" s="1"/>
  <c r="BI22" i="6" s="1"/>
  <c r="BJ22" i="6" s="1"/>
  <c r="BK22" i="6" s="1"/>
  <c r="BL22" i="6" s="1"/>
  <c r="BM22" i="6" s="1"/>
  <c r="BM2" i="2"/>
  <c r="BM78" i="2" s="1"/>
  <c r="BL78" i="2"/>
  <c r="BK78" i="2"/>
  <c r="BM45" i="2"/>
  <c r="BM16" i="2"/>
  <c r="BM31" i="2"/>
  <c r="BM40" i="2"/>
  <c r="BM7" i="2"/>
  <c r="BM59" i="2"/>
  <c r="BM39" i="2"/>
  <c r="BM30" i="2"/>
  <c r="BM15" i="2"/>
  <c r="BM11" i="2"/>
  <c r="BM6" i="2"/>
  <c r="BM65" i="2"/>
  <c r="BM12" i="2"/>
  <c r="BM54" i="2"/>
  <c r="BM20" i="2"/>
  <c r="BM58" i="2"/>
  <c r="BM53" i="2"/>
  <c r="BM48" i="2"/>
  <c r="BM43" i="2"/>
  <c r="BM38" i="2"/>
  <c r="BM34" i="2"/>
  <c r="BM29" i="2"/>
  <c r="BM24" i="2"/>
  <c r="BM19" i="2"/>
  <c r="BM14" i="2"/>
  <c r="BM5" i="2"/>
  <c r="BM9" i="2"/>
  <c r="BM55" i="2"/>
  <c r="BM21" i="2"/>
  <c r="BM44" i="2"/>
  <c r="BM35" i="2"/>
  <c r="BM62" i="2"/>
  <c r="BM50" i="2"/>
  <c r="BM26" i="2"/>
  <c r="BM64" i="2"/>
  <c r="BM25" i="2"/>
  <c r="BM60" i="2"/>
  <c r="BM36" i="2"/>
  <c r="BM49" i="2"/>
  <c r="BM66" i="2"/>
  <c r="BM61" i="2"/>
  <c r="BM57" i="2"/>
  <c r="BM51" i="2"/>
  <c r="BM46" i="2"/>
  <c r="BM42" i="2"/>
  <c r="BM37" i="2"/>
  <c r="BM32" i="2"/>
  <c r="BM28" i="2"/>
  <c r="BM22" i="2"/>
  <c r="BM18" i="2"/>
  <c r="BM13" i="2"/>
  <c r="BM8" i="2"/>
  <c r="BM4" i="2"/>
  <c r="BK4" i="2"/>
  <c r="BK9" i="2"/>
  <c r="BL9" i="2"/>
  <c r="BK46" i="2"/>
  <c r="BL8" i="2"/>
  <c r="BL31" i="2"/>
  <c r="BK39" i="2"/>
  <c r="BL30" i="2"/>
  <c r="BK53" i="2"/>
  <c r="BK37" i="2"/>
  <c r="BK30" i="2"/>
  <c r="BK22" i="2"/>
  <c r="BK15" i="2"/>
  <c r="BK8" i="2"/>
  <c r="BK61" i="2"/>
  <c r="BK60" i="2"/>
  <c r="BL24" i="2"/>
  <c r="BL66" i="2"/>
  <c r="BL15" i="2"/>
  <c r="BL58" i="2"/>
  <c r="BL65" i="2"/>
  <c r="BL50" i="2"/>
  <c r="BL43" i="2"/>
  <c r="BL36" i="2"/>
  <c r="BL29" i="2"/>
  <c r="BL21" i="2"/>
  <c r="BL7" i="2"/>
  <c r="BL14" i="2"/>
  <c r="BK25" i="2"/>
  <c r="BK59" i="2"/>
  <c r="BL38" i="2"/>
  <c r="BK38" i="2"/>
  <c r="BL37" i="2"/>
  <c r="BL49" i="2"/>
  <c r="BL20" i="2"/>
  <c r="BK58" i="2"/>
  <c r="BK14" i="2"/>
  <c r="BL6" i="2"/>
  <c r="BL13" i="2"/>
  <c r="BK11" i="2"/>
  <c r="BL53" i="2"/>
  <c r="BK31" i="2"/>
  <c r="BL59" i="2"/>
  <c r="BK44" i="2"/>
  <c r="BL57" i="2"/>
  <c r="BK57" i="2"/>
  <c r="BK28" i="2"/>
  <c r="BK35" i="2"/>
  <c r="BK20" i="2"/>
  <c r="BK13" i="2"/>
  <c r="BK36" i="2"/>
  <c r="BK6" i="2"/>
  <c r="BK45" i="2"/>
  <c r="BK32" i="2"/>
  <c r="BL45" i="2"/>
  <c r="BK51" i="2"/>
  <c r="BK42" i="2"/>
  <c r="BK7" i="2"/>
  <c r="BL44" i="2"/>
  <c r="BL35" i="2"/>
  <c r="BL48" i="2"/>
  <c r="BL34" i="2"/>
  <c r="BL40" i="2"/>
  <c r="BL26" i="2"/>
  <c r="BL19" i="2"/>
  <c r="BL12" i="2"/>
  <c r="BL5" i="2"/>
  <c r="BL60" i="2"/>
  <c r="BK24" i="2"/>
  <c r="BK18" i="2"/>
  <c r="BL22" i="2"/>
  <c r="BK50" i="2"/>
  <c r="BK64" i="2"/>
  <c r="BK21" i="2"/>
  <c r="BL55" i="2"/>
  <c r="BK55" i="2"/>
  <c r="BK40" i="2"/>
  <c r="BK26" i="2"/>
  <c r="BK12" i="2"/>
  <c r="BL16" i="2"/>
  <c r="BK54" i="2"/>
  <c r="BK62" i="2"/>
  <c r="BK48" i="2"/>
  <c r="BK34" i="2"/>
  <c r="BK19" i="2"/>
  <c r="BK5" i="2"/>
  <c r="BL28" i="2"/>
  <c r="BK16" i="2"/>
  <c r="BL51" i="2"/>
  <c r="BK65" i="2"/>
  <c r="BK66" i="2"/>
  <c r="BK43" i="2"/>
  <c r="BL64" i="2"/>
  <c r="BK29" i="2"/>
  <c r="BL42" i="2"/>
  <c r="BK49" i="2"/>
  <c r="BL62" i="2"/>
  <c r="BL54" i="2"/>
  <c r="BL39" i="2"/>
  <c r="BL25" i="2"/>
  <c r="BL61" i="2"/>
  <c r="BL46" i="2"/>
  <c r="BL32" i="2"/>
  <c r="BL11" i="2"/>
  <c r="BL18" i="2"/>
  <c r="BL4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C78" i="2"/>
  <c r="BJ75" i="2"/>
  <c r="BJ76" i="2" s="1"/>
  <c r="BI75" i="2"/>
  <c r="BI76" i="2" s="1"/>
  <c r="BH75" i="2"/>
  <c r="BH76" i="2" s="1"/>
  <c r="BG75" i="2"/>
  <c r="BG76" i="2" s="1"/>
  <c r="BF75" i="2"/>
  <c r="BF76" i="2" s="1"/>
  <c r="BE75" i="2"/>
  <c r="BE76" i="2" s="1"/>
  <c r="BD75" i="2"/>
  <c r="BD76" i="2" s="1"/>
  <c r="BC75" i="2"/>
  <c r="BC76" i="2" s="1"/>
  <c r="BB75" i="2"/>
  <c r="BB76" i="2" s="1"/>
  <c r="BA75" i="2"/>
  <c r="BA76" i="2" s="1"/>
  <c r="AZ75" i="2"/>
  <c r="AZ76" i="2" s="1"/>
  <c r="AY75" i="2"/>
  <c r="AY76" i="2" s="1"/>
  <c r="AX75" i="2"/>
  <c r="AX76" i="2" s="1"/>
  <c r="AW75" i="2"/>
  <c r="AW76" i="2" s="1"/>
  <c r="AV75" i="2"/>
  <c r="AV76" i="2" s="1"/>
  <c r="AU75" i="2"/>
  <c r="AU76" i="2" s="1"/>
  <c r="AT75" i="2"/>
  <c r="AT76" i="2" s="1"/>
  <c r="AS75" i="2"/>
  <c r="AS76" i="2" s="1"/>
  <c r="AR75" i="2"/>
  <c r="AR76" i="2" s="1"/>
  <c r="AQ75" i="2"/>
  <c r="AQ76" i="2" s="1"/>
  <c r="AP75" i="2"/>
  <c r="AP76" i="2" s="1"/>
  <c r="AO75" i="2"/>
  <c r="AO76" i="2" s="1"/>
  <c r="AN75" i="2"/>
  <c r="AN76" i="2" s="1"/>
  <c r="AM75" i="2"/>
  <c r="AM76" i="2" s="1"/>
  <c r="AL75" i="2"/>
  <c r="AL76" i="2" s="1"/>
  <c r="AK75" i="2"/>
  <c r="AK76" i="2" s="1"/>
  <c r="AJ75" i="2"/>
  <c r="AJ76" i="2" s="1"/>
  <c r="AI75" i="2"/>
  <c r="AI76" i="2" s="1"/>
  <c r="AH75" i="2"/>
  <c r="AH76" i="2" s="1"/>
  <c r="AG75" i="2"/>
  <c r="AG76" i="2" s="1"/>
  <c r="AF75" i="2"/>
  <c r="AF76" i="2" s="1"/>
  <c r="AE75" i="2"/>
  <c r="AE76" i="2" s="1"/>
  <c r="AD75" i="2"/>
  <c r="AD76" i="2" s="1"/>
  <c r="AC75" i="2"/>
  <c r="AC76" i="2" s="1"/>
  <c r="AB75" i="2"/>
  <c r="AB76" i="2" s="1"/>
  <c r="AA75" i="2"/>
  <c r="AA76" i="2" s="1"/>
  <c r="Z75" i="2"/>
  <c r="Z76" i="2" s="1"/>
  <c r="Y75" i="2"/>
  <c r="Y76" i="2" s="1"/>
  <c r="X75" i="2"/>
  <c r="X76" i="2" s="1"/>
  <c r="W75" i="2"/>
  <c r="W76" i="2" s="1"/>
  <c r="V75" i="2"/>
  <c r="V76" i="2" s="1"/>
  <c r="U75" i="2"/>
  <c r="U76" i="2" s="1"/>
  <c r="T75" i="2"/>
  <c r="T76" i="2" s="1"/>
  <c r="S75" i="2"/>
  <c r="S76" i="2" s="1"/>
  <c r="R75" i="2"/>
  <c r="R76" i="2" s="1"/>
  <c r="Q75" i="2"/>
  <c r="Q76" i="2" s="1"/>
  <c r="P75" i="2"/>
  <c r="P76" i="2" s="1"/>
  <c r="O75" i="2"/>
  <c r="O76" i="2" s="1"/>
  <c r="N75" i="2"/>
  <c r="N76" i="2" s="1"/>
  <c r="M75" i="2"/>
  <c r="M76" i="2" s="1"/>
  <c r="L75" i="2"/>
  <c r="L76" i="2" s="1"/>
  <c r="K75" i="2"/>
  <c r="K76" i="2" s="1"/>
  <c r="J75" i="2"/>
  <c r="J76" i="2" s="1"/>
  <c r="I75" i="2"/>
  <c r="I76" i="2" s="1"/>
  <c r="H75" i="2"/>
  <c r="H76" i="2" s="1"/>
  <c r="G75" i="2"/>
  <c r="G76" i="2" s="1"/>
  <c r="F75" i="2"/>
  <c r="F76" i="2" s="1"/>
  <c r="E75" i="2"/>
  <c r="E76" i="2" s="1"/>
  <c r="D75" i="2"/>
  <c r="D79" i="2" l="1"/>
  <c r="DF76" i="2"/>
  <c r="DG76" i="2" s="1"/>
  <c r="D76" i="2"/>
  <c r="DD76" i="2" s="1"/>
  <c r="DE76" i="2" s="1"/>
  <c r="DH76" i="2" s="1"/>
  <c r="BM63" i="2"/>
  <c r="BM23" i="2"/>
  <c r="T119" i="6"/>
  <c r="U125" i="6" s="1"/>
  <c r="BK3" i="6"/>
  <c r="BM17" i="2"/>
  <c r="BM56" i="2"/>
  <c r="BM47" i="2"/>
  <c r="BM10" i="2"/>
  <c r="S110" i="6"/>
  <c r="S111" i="6"/>
  <c r="BM3" i="2"/>
  <c r="BM41" i="2"/>
  <c r="BM33" i="2"/>
  <c r="BM52" i="2"/>
  <c r="BM27" i="2"/>
  <c r="BM3" i="6"/>
  <c r="BL3" i="6"/>
  <c r="BM70" i="2"/>
  <c r="BN71" i="2" s="1"/>
  <c r="BN72" i="2" s="1"/>
  <c r="E79" i="2"/>
  <c r="F79" i="2" s="1"/>
  <c r="G79" i="2" s="1"/>
  <c r="H79" i="2" s="1"/>
  <c r="I79" i="2" s="1"/>
  <c r="J79" i="2" s="1"/>
  <c r="K79" i="2" s="1"/>
  <c r="L79" i="2" s="1"/>
  <c r="M79" i="2" s="1"/>
  <c r="N79" i="2" s="1"/>
  <c r="O79" i="2" s="1"/>
  <c r="P79" i="2" s="1"/>
  <c r="Q79" i="2" s="1"/>
  <c r="R79" i="2" s="1"/>
  <c r="S79" i="2" s="1"/>
  <c r="T79" i="2" s="1"/>
  <c r="U79" i="2" s="1"/>
  <c r="V79" i="2" s="1"/>
  <c r="W79" i="2" s="1"/>
  <c r="X79" i="2" s="1"/>
  <c r="Y79" i="2" s="1"/>
  <c r="Z79" i="2" s="1"/>
  <c r="AA79" i="2" s="1"/>
  <c r="AB79" i="2" s="1"/>
  <c r="AC79" i="2" s="1"/>
  <c r="AD79" i="2" s="1"/>
  <c r="AE79" i="2" s="1"/>
  <c r="AF79" i="2" s="1"/>
  <c r="AG79" i="2" s="1"/>
  <c r="AH79" i="2" s="1"/>
  <c r="AI79" i="2" s="1"/>
  <c r="AJ79" i="2" s="1"/>
  <c r="AK79" i="2" s="1"/>
  <c r="AL79" i="2" s="1"/>
  <c r="AM79" i="2" s="1"/>
  <c r="AN79" i="2" s="1"/>
  <c r="AO79" i="2" s="1"/>
  <c r="AP79" i="2" s="1"/>
  <c r="AQ79" i="2" s="1"/>
  <c r="AR79" i="2" s="1"/>
  <c r="AS79" i="2" s="1"/>
  <c r="AT79" i="2" s="1"/>
  <c r="AU79" i="2" s="1"/>
  <c r="AV79" i="2" s="1"/>
  <c r="AW79" i="2" s="1"/>
  <c r="AX79" i="2" s="1"/>
  <c r="AY79" i="2" s="1"/>
  <c r="AZ79" i="2" s="1"/>
  <c r="BA79" i="2" s="1"/>
  <c r="BB79" i="2" s="1"/>
  <c r="BC79" i="2" s="1"/>
  <c r="BD79" i="2" s="1"/>
  <c r="BE79" i="2" s="1"/>
  <c r="BF79" i="2" s="1"/>
  <c r="BG79" i="2" s="1"/>
  <c r="BH79" i="2" s="1"/>
  <c r="BI79" i="2" s="1"/>
  <c r="BJ79" i="2" s="1"/>
  <c r="BK79" i="2" s="1"/>
  <c r="BL79" i="2" s="1"/>
  <c r="BM79" i="2" s="1"/>
  <c r="BK70" i="2"/>
  <c r="BL70" i="2"/>
  <c r="BN79" i="2" l="1"/>
  <c r="BO79" i="2" s="1"/>
  <c r="BP79" i="2" s="1"/>
  <c r="BQ79" i="2" s="1"/>
  <c r="BR79" i="2" s="1"/>
  <c r="BS79" i="2" s="1"/>
  <c r="BT79" i="2" s="1"/>
  <c r="BU79" i="2" s="1"/>
  <c r="BV79" i="2" s="1"/>
  <c r="BW79" i="2" s="1"/>
  <c r="BX79" i="2" s="1"/>
  <c r="BY79" i="2" s="1"/>
  <c r="BZ79" i="2" s="1"/>
  <c r="CA79" i="2" s="1"/>
  <c r="CB79" i="2" s="1"/>
  <c r="CC79" i="2" s="1"/>
  <c r="CD79" i="2" s="1"/>
  <c r="CE79" i="2" s="1"/>
  <c r="CF79" i="2" s="1"/>
  <c r="CG79" i="2" s="1"/>
  <c r="CH79" i="2" s="1"/>
  <c r="CI79" i="2" s="1"/>
  <c r="CJ79" i="2" s="1"/>
  <c r="CK79" i="2" s="1"/>
  <c r="CL79" i="2" s="1"/>
  <c r="CM79" i="2" s="1"/>
  <c r="CN79" i="2" s="1"/>
  <c r="CO79" i="2" s="1"/>
  <c r="CP79" i="2" s="1"/>
  <c r="CQ79" i="2" s="1"/>
  <c r="CR79" i="2" s="1"/>
  <c r="CS79" i="2" s="1"/>
  <c r="CT79" i="2" s="1"/>
  <c r="CU79" i="2" s="1"/>
  <c r="CV79" i="2" s="1"/>
  <c r="CW79" i="2" s="1"/>
  <c r="CX79" i="2" s="1"/>
  <c r="CY79" i="2" s="1"/>
  <c r="CZ79" i="2" s="1"/>
  <c r="DA79" i="2" s="1"/>
  <c r="DB79" i="2" s="1"/>
  <c r="K81" i="2"/>
  <c r="DQ4" i="2"/>
  <c r="DQ6" i="2"/>
  <c r="DQ5" i="2"/>
  <c r="DQ7" i="2"/>
  <c r="DQ9" i="2"/>
  <c r="DQ8" i="2"/>
  <c r="BL12" i="6"/>
  <c r="S112" i="6"/>
  <c r="S127" i="6" s="1"/>
  <c r="D9" i="4"/>
  <c r="BM71" i="2"/>
  <c r="BM72" i="2" s="1"/>
  <c r="BM12" i="6"/>
  <c r="BL71" i="2"/>
  <c r="BL72" i="2" s="1"/>
  <c r="DD79" i="2" l="1"/>
  <c r="D4" i="4"/>
  <c r="D3" i="4"/>
  <c r="D8" i="4"/>
  <c r="D5" i="4"/>
  <c r="D11" i="4"/>
  <c r="D13" i="4"/>
  <c r="D6" i="4"/>
  <c r="D12" i="4"/>
  <c r="D10" i="4"/>
  <c r="D7" i="4"/>
  <c r="AL7" i="2"/>
  <c r="AA14" i="2"/>
  <c r="W13" i="2"/>
  <c r="AK32" i="2"/>
  <c r="AY4" i="2"/>
  <c r="P6" i="2"/>
  <c r="AT7" i="2"/>
  <c r="V9" i="2"/>
  <c r="AR9" i="2"/>
  <c r="BA13" i="2"/>
  <c r="Q16" i="2"/>
  <c r="AM14" i="2"/>
  <c r="AZ15" i="2"/>
  <c r="R13" i="2"/>
  <c r="AP15" i="2"/>
  <c r="C13" i="2"/>
  <c r="P14" i="2"/>
  <c r="AE11" i="2"/>
  <c r="BC13" i="2"/>
  <c r="S16" i="2"/>
  <c r="T12" i="2"/>
  <c r="AR14" i="2"/>
  <c r="I11" i="2"/>
  <c r="AG13" i="2"/>
  <c r="BE15" i="2"/>
  <c r="AT14" i="2"/>
  <c r="K11" i="2"/>
  <c r="AI13" i="2"/>
  <c r="BG15" i="2"/>
  <c r="AH14" i="2"/>
  <c r="AV13" i="2"/>
  <c r="AV16" i="2"/>
  <c r="Y14" i="2"/>
  <c r="Z13" i="2"/>
  <c r="AT18" i="2"/>
  <c r="AA18" i="2"/>
  <c r="P18" i="2"/>
  <c r="BF18" i="2"/>
  <c r="J18" i="2"/>
  <c r="AP19" i="2"/>
  <c r="AH20" i="2"/>
  <c r="G18" i="2"/>
  <c r="X19" i="2"/>
  <c r="U19" i="2"/>
  <c r="Y21" i="2"/>
  <c r="D25" i="2"/>
  <c r="AP25" i="2"/>
  <c r="BB24" i="2"/>
  <c r="BI24" i="2"/>
  <c r="AJ30" i="2"/>
  <c r="AN30" i="2"/>
  <c r="AP28" i="2"/>
  <c r="Z28" i="2"/>
  <c r="Z36" i="2"/>
  <c r="AN38" i="2"/>
  <c r="AP34" i="2"/>
  <c r="AF36" i="2"/>
  <c r="M40" i="2"/>
  <c r="AT46" i="2"/>
  <c r="E48" i="2"/>
  <c r="G55" i="2"/>
  <c r="AY57" i="2"/>
  <c r="R4" i="2"/>
  <c r="Y5" i="2"/>
  <c r="F8" i="2"/>
  <c r="AC7" i="2"/>
  <c r="AD15" i="2"/>
  <c r="BD16" i="2"/>
  <c r="AJ16" i="2"/>
  <c r="AZ22" i="2"/>
  <c r="AZ24" i="2"/>
  <c r="AD28" i="2"/>
  <c r="AB38" i="2"/>
  <c r="F6" i="2"/>
  <c r="L8" i="2"/>
  <c r="D16" i="2"/>
  <c r="AB6" i="2"/>
  <c r="BA8" i="2"/>
  <c r="AD5" i="2"/>
  <c r="AE8" i="2"/>
  <c r="E14" i="2"/>
  <c r="AM13" i="2"/>
  <c r="AF12" i="2"/>
  <c r="BF14" i="2"/>
  <c r="L14" i="2"/>
  <c r="O19" i="2"/>
  <c r="BD18" i="2"/>
  <c r="BI19" i="2"/>
  <c r="AE24" i="2"/>
  <c r="AW31" i="2"/>
  <c r="BB30" i="2"/>
  <c r="H28" i="2"/>
  <c r="Z40" i="2"/>
  <c r="AZ40" i="2"/>
  <c r="R37" i="2"/>
  <c r="Y59" i="2"/>
  <c r="AK4" i="2"/>
  <c r="Z4" i="2"/>
  <c r="AA4" i="2"/>
  <c r="AE4" i="2"/>
  <c r="I4" i="2"/>
  <c r="E9" i="2"/>
  <c r="AN5" i="2"/>
  <c r="Z9" i="2"/>
  <c r="BJ6" i="2"/>
  <c r="AK9" i="2"/>
  <c r="M7" i="2"/>
  <c r="S9" i="2"/>
  <c r="E8" i="2"/>
  <c r="P5" i="2"/>
  <c r="AL9" i="2"/>
  <c r="AV7" i="2"/>
  <c r="X5" i="2"/>
  <c r="BG7" i="2"/>
  <c r="AI5" i="2"/>
  <c r="AO9" i="2"/>
  <c r="BF6" i="2"/>
  <c r="BB8" i="2"/>
  <c r="AH8" i="2"/>
  <c r="U9" i="2"/>
  <c r="AS6" i="2"/>
  <c r="T9" i="2"/>
  <c r="BD6" i="2"/>
  <c r="G7" i="2"/>
  <c r="AZ9" i="2"/>
  <c r="C5" i="2"/>
  <c r="DR5" i="2" s="1"/>
  <c r="AA16" i="2"/>
  <c r="Q11" i="2"/>
  <c r="Q14" i="2"/>
  <c r="AO16" i="2"/>
  <c r="AM15" i="2"/>
  <c r="AZ16" i="2"/>
  <c r="AP13" i="2"/>
  <c r="F16" i="2"/>
  <c r="O14" i="2"/>
  <c r="AB15" i="2"/>
  <c r="BC11" i="2"/>
  <c r="S14" i="2"/>
  <c r="AQ16" i="2"/>
  <c r="AR12" i="2"/>
  <c r="H15" i="2"/>
  <c r="AG11" i="2"/>
  <c r="BE13" i="2"/>
  <c r="U16" i="2"/>
  <c r="J15" i="2"/>
  <c r="AI11" i="2"/>
  <c r="BG13" i="2"/>
  <c r="W16" i="2"/>
  <c r="X11" i="2"/>
  <c r="X14" i="2"/>
  <c r="M11" i="2"/>
  <c r="AW14" i="2"/>
  <c r="N14" i="2"/>
  <c r="W20" i="2"/>
  <c r="AM19" i="2"/>
  <c r="AB19" i="2"/>
  <c r="BG20" i="2"/>
  <c r="K22" i="2"/>
  <c r="AE18" i="2"/>
  <c r="BG21" i="2"/>
  <c r="BD19" i="2"/>
  <c r="N20" i="2"/>
  <c r="U21" i="2"/>
  <c r="AL22" i="2"/>
  <c r="E24" i="2"/>
  <c r="H25" i="2"/>
  <c r="S26" i="2"/>
  <c r="D24" i="2"/>
  <c r="Y32" i="2"/>
  <c r="J28" i="2"/>
  <c r="F31" i="2"/>
  <c r="T28" i="2"/>
  <c r="AL40" i="2"/>
  <c r="BF37" i="2"/>
  <c r="AD37" i="2"/>
  <c r="AR40" i="2"/>
  <c r="P42" i="2"/>
  <c r="AA42" i="2"/>
  <c r="AE51" i="2"/>
  <c r="AM61" i="2"/>
  <c r="BI60" i="2"/>
  <c r="AN4" i="2"/>
  <c r="AW7" i="2"/>
  <c r="J8" i="2"/>
  <c r="AY7" i="2"/>
  <c r="C12" i="2"/>
  <c r="AS15" i="2"/>
  <c r="N13" i="2"/>
  <c r="AJ18" i="2"/>
  <c r="AB30" i="2"/>
  <c r="AH46" i="2"/>
  <c r="N4" i="2"/>
  <c r="AK7" i="2"/>
  <c r="F7" i="2"/>
  <c r="C7" i="2"/>
  <c r="DR7" i="2" s="1"/>
  <c r="BJ9" i="2"/>
  <c r="AX9" i="2"/>
  <c r="V7" i="2"/>
  <c r="BA5" i="2"/>
  <c r="O15" i="2"/>
  <c r="G14" i="2"/>
  <c r="AS13" i="2"/>
  <c r="BH16" i="2"/>
  <c r="AU18" i="2"/>
  <c r="AQ25" i="2"/>
  <c r="O61" i="2"/>
  <c r="C4" i="2"/>
  <c r="DR4" i="2" s="1"/>
  <c r="Y4" i="2"/>
  <c r="BI4" i="2"/>
  <c r="AL4" i="2"/>
  <c r="F4" i="2"/>
  <c r="G9" i="2"/>
  <c r="Q8" i="2"/>
  <c r="D5" i="2"/>
  <c r="N9" i="2"/>
  <c r="AX6" i="2"/>
  <c r="Y9" i="2"/>
  <c r="BI6" i="2"/>
  <c r="S8" i="2"/>
  <c r="E7" i="2"/>
  <c r="AM9" i="2"/>
  <c r="BH9" i="2"/>
  <c r="AJ7" i="2"/>
  <c r="L5" i="2"/>
  <c r="AU7" i="2"/>
  <c r="W5" i="2"/>
  <c r="AO8" i="2"/>
  <c r="AH6" i="2"/>
  <c r="BB7" i="2"/>
  <c r="V8" i="2"/>
  <c r="I9" i="2"/>
  <c r="AG6" i="2"/>
  <c r="H9" i="2"/>
  <c r="AR6" i="2"/>
  <c r="G6" i="2"/>
  <c r="P9" i="2"/>
  <c r="AT11" i="2"/>
  <c r="D11" i="2"/>
  <c r="BA11" i="2"/>
  <c r="AC14" i="2"/>
  <c r="BA16" i="2"/>
  <c r="O16" i="2"/>
  <c r="AC11" i="2"/>
  <c r="BB13" i="2"/>
  <c r="R16" i="2"/>
  <c r="AY14" i="2"/>
  <c r="AB16" i="2"/>
  <c r="G12" i="2"/>
  <c r="AE14" i="2"/>
  <c r="BC16" i="2"/>
  <c r="BD12" i="2"/>
  <c r="T15" i="2"/>
  <c r="AS11" i="2"/>
  <c r="I14" i="2"/>
  <c r="AG16" i="2"/>
  <c r="V15" i="2"/>
  <c r="AU11" i="2"/>
  <c r="K14" i="2"/>
  <c r="AI16" i="2"/>
  <c r="AV11" i="2"/>
  <c r="AJ14" i="2"/>
  <c r="Y11" i="2"/>
  <c r="BI14" i="2"/>
  <c r="Z14" i="2"/>
  <c r="X18" i="2"/>
  <c r="O20" i="2"/>
  <c r="D20" i="2"/>
  <c r="L19" i="2"/>
  <c r="L21" i="2"/>
  <c r="G19" i="2"/>
  <c r="AV18" i="2"/>
  <c r="H20" i="2"/>
  <c r="AX20" i="2"/>
  <c r="AG21" i="2"/>
  <c r="AX22" i="2"/>
  <c r="Q24" i="2"/>
  <c r="T25" i="2"/>
  <c r="AE26" i="2"/>
  <c r="BF24" i="2"/>
  <c r="BJ30" i="2"/>
  <c r="BG28" i="2"/>
  <c r="S28" i="2"/>
  <c r="AF30" i="2"/>
  <c r="AY35" i="2"/>
  <c r="AC37" i="2"/>
  <c r="G34" i="2"/>
  <c r="I37" i="2"/>
  <c r="AY42" i="2"/>
  <c r="L45" i="2"/>
  <c r="I48" i="2"/>
  <c r="O58" i="2"/>
  <c r="AJ61" i="2"/>
  <c r="AS4" i="2"/>
  <c r="AM5" i="2"/>
  <c r="AT9" i="2"/>
  <c r="AO13" i="2"/>
  <c r="AQ13" i="2"/>
  <c r="BF16" i="2"/>
  <c r="D18" i="2"/>
  <c r="R24" i="2"/>
  <c r="BJ51" i="2"/>
  <c r="Z7" i="2"/>
  <c r="W8" i="2"/>
  <c r="AQ9" i="2"/>
  <c r="BJ4" i="2"/>
  <c r="N7" i="2"/>
  <c r="AJ5" i="2"/>
  <c r="BF8" i="2"/>
  <c r="C6" i="2"/>
  <c r="DR6" i="2" s="1"/>
  <c r="AC16" i="2"/>
  <c r="AZ14" i="2"/>
  <c r="U11" i="2"/>
  <c r="K16" i="2"/>
  <c r="AK14" i="2"/>
  <c r="AP22" i="2"/>
  <c r="D26" i="2"/>
  <c r="AI46" i="2"/>
  <c r="BH4" i="2"/>
  <c r="E4" i="2"/>
  <c r="G8" i="2"/>
  <c r="Q7" i="2"/>
  <c r="AY9" i="2"/>
  <c r="BJ8" i="2"/>
  <c r="AL6" i="2"/>
  <c r="M9" i="2"/>
  <c r="AW6" i="2"/>
  <c r="S7" i="2"/>
  <c r="E6" i="2"/>
  <c r="C9" i="2"/>
  <c r="DR9" i="2" s="1"/>
  <c r="AV9" i="2"/>
  <c r="X7" i="2"/>
  <c r="BG9" i="2"/>
  <c r="AI7" i="2"/>
  <c r="K5" i="2"/>
  <c r="AO7" i="2"/>
  <c r="J6" i="2"/>
  <c r="R7" i="2"/>
  <c r="BF7" i="2"/>
  <c r="BE8" i="2"/>
  <c r="U6" i="2"/>
  <c r="BD8" i="2"/>
  <c r="AF6" i="2"/>
  <c r="AE5" i="2"/>
  <c r="P8" i="2"/>
  <c r="BJ11" i="2"/>
  <c r="AB11" i="2"/>
  <c r="Q12" i="2"/>
  <c r="AO14" i="2"/>
  <c r="BF11" i="2"/>
  <c r="AY16" i="2"/>
  <c r="F11" i="2"/>
  <c r="F14" i="2"/>
  <c r="AD16" i="2"/>
  <c r="AA15" i="2"/>
  <c r="E11" i="2"/>
  <c r="S12" i="2"/>
  <c r="AQ14" i="2"/>
  <c r="AH11" i="2"/>
  <c r="H13" i="2"/>
  <c r="AF15" i="2"/>
  <c r="BE11" i="2"/>
  <c r="U14" i="2"/>
  <c r="AS16" i="2"/>
  <c r="AH15" i="2"/>
  <c r="BG11" i="2"/>
  <c r="W14" i="2"/>
  <c r="AU16" i="2"/>
  <c r="BH11" i="2"/>
  <c r="AV14" i="2"/>
  <c r="AW11" i="2"/>
  <c r="AW15" i="2"/>
  <c r="AL14" i="2"/>
  <c r="AJ19" i="2"/>
  <c r="AA20" i="2"/>
  <c r="P20" i="2"/>
  <c r="X20" i="2"/>
  <c r="X22" i="2"/>
  <c r="S19" i="2"/>
  <c r="AK20" i="2"/>
  <c r="T20" i="2"/>
  <c r="Q18" i="2"/>
  <c r="AS21" i="2"/>
  <c r="BJ22" i="2"/>
  <c r="AC24" i="2"/>
  <c r="AF25" i="2"/>
  <c r="BC26" i="2"/>
  <c r="J25" i="2"/>
  <c r="N31" i="2"/>
  <c r="AI29" i="2"/>
  <c r="AE28" i="2"/>
  <c r="AR30" i="2"/>
  <c r="C36" i="2"/>
  <c r="AC38" i="2"/>
  <c r="S34" i="2"/>
  <c r="U37" i="2"/>
  <c r="O46" i="2"/>
  <c r="X45" i="2"/>
  <c r="U48" i="2"/>
  <c r="AM59" i="2"/>
  <c r="AV61" i="2"/>
  <c r="J4" i="2"/>
  <c r="AN6" i="2"/>
  <c r="J5" i="2"/>
  <c r="E16" i="2"/>
  <c r="G16" i="2"/>
  <c r="BF13" i="2"/>
  <c r="E22" i="2"/>
  <c r="AP24" i="2"/>
  <c r="AE54" i="2"/>
  <c r="O5" i="2"/>
  <c r="AV5" i="2"/>
  <c r="BA6" i="2"/>
  <c r="AB4" i="2"/>
  <c r="AW9" i="2"/>
  <c r="K8" i="2"/>
  <c r="AG9" i="2"/>
  <c r="AY15" i="2"/>
  <c r="P16" i="2"/>
  <c r="AQ11" i="2"/>
  <c r="BD14" i="2"/>
  <c r="AU13" i="2"/>
  <c r="AL13" i="2"/>
  <c r="BG18" i="2"/>
  <c r="AL21" i="2"/>
  <c r="AM46" i="2"/>
  <c r="H4" i="2"/>
  <c r="AR4" i="2"/>
  <c r="P4" i="2"/>
  <c r="Q6" i="2"/>
  <c r="AX8" i="2"/>
  <c r="Z6" i="2"/>
  <c r="BI8" i="2"/>
  <c r="AK6" i="2"/>
  <c r="AE6" i="2"/>
  <c r="AC5" i="2"/>
  <c r="AM8" i="2"/>
  <c r="AJ9" i="2"/>
  <c r="L7" i="2"/>
  <c r="AU9" i="2"/>
  <c r="W7" i="2"/>
  <c r="AE9" i="2"/>
  <c r="AO6" i="2"/>
  <c r="AT5" i="2"/>
  <c r="R6" i="2"/>
  <c r="AH7" i="2"/>
  <c r="AS8" i="2"/>
  <c r="I6" i="2"/>
  <c r="AR8" i="2"/>
  <c r="T6" i="2"/>
  <c r="AP9" i="2"/>
  <c r="AN7" i="2"/>
  <c r="C11" i="2"/>
  <c r="D12" i="2"/>
  <c r="AC12" i="2"/>
  <c r="BA14" i="2"/>
  <c r="Z11" i="2"/>
  <c r="AN11" i="2"/>
  <c r="AD11" i="2"/>
  <c r="R14" i="2"/>
  <c r="AP16" i="2"/>
  <c r="C16" i="2"/>
  <c r="AO11" i="2"/>
  <c r="AE12" i="2"/>
  <c r="BC14" i="2"/>
  <c r="AX11" i="2"/>
  <c r="T13" i="2"/>
  <c r="AR15" i="2"/>
  <c r="I12" i="2"/>
  <c r="AG14" i="2"/>
  <c r="BE16" i="2"/>
  <c r="AT15" i="2"/>
  <c r="K12" i="2"/>
  <c r="AI14" i="2"/>
  <c r="BG16" i="2"/>
  <c r="L12" i="2"/>
  <c r="BH14" i="2"/>
  <c r="BI11" i="2"/>
  <c r="BI15" i="2"/>
  <c r="AX14" i="2"/>
  <c r="AJ20" i="2"/>
  <c r="AM20" i="2"/>
  <c r="AB20" i="2"/>
  <c r="AV21" i="2"/>
  <c r="AW19" i="2"/>
  <c r="AE19" i="2"/>
  <c r="BJ18" i="2"/>
  <c r="T21" i="2"/>
  <c r="AC21" i="2"/>
  <c r="AS22" i="2"/>
  <c r="AV26" i="2"/>
  <c r="AC25" i="2"/>
  <c r="AF26" i="2"/>
  <c r="U24" i="2"/>
  <c r="W24" i="2"/>
  <c r="O28" i="2"/>
  <c r="AV30" i="2"/>
  <c r="AQ30" i="2"/>
  <c r="BD32" i="2"/>
  <c r="O38" i="2"/>
  <c r="BI35" i="2"/>
  <c r="AE37" i="2"/>
  <c r="J38" i="2"/>
  <c r="BD44" i="2"/>
  <c r="M46" i="2"/>
  <c r="AV54" i="2"/>
  <c r="AO58" i="2"/>
  <c r="BJ66" i="2"/>
  <c r="AP5" i="2"/>
  <c r="AF7" i="2"/>
  <c r="S11" i="2"/>
  <c r="AJ13" i="2"/>
  <c r="BC22" i="2"/>
  <c r="N35" i="2"/>
  <c r="BI9" i="2"/>
  <c r="BE9" i="2"/>
  <c r="AF4" i="2"/>
  <c r="BH7" i="2"/>
  <c r="AF9" i="2"/>
  <c r="AD13" i="2"/>
  <c r="I16" i="2"/>
  <c r="D19" i="2"/>
  <c r="AF40" i="2"/>
  <c r="M4" i="2"/>
  <c r="AQ4" i="2"/>
  <c r="W4" i="2"/>
  <c r="O9" i="2"/>
  <c r="BC4" i="2"/>
  <c r="K4" i="2"/>
  <c r="AQ6" i="2"/>
  <c r="AY8" i="2"/>
  <c r="AL8" i="2"/>
  <c r="N6" i="2"/>
  <c r="AW8" i="2"/>
  <c r="Y6" i="2"/>
  <c r="G5" i="2"/>
  <c r="AN9" i="2"/>
  <c r="C8" i="2"/>
  <c r="DR8" i="2" s="1"/>
  <c r="X9" i="2"/>
  <c r="BH6" i="2"/>
  <c r="AI9" i="2"/>
  <c r="K7" i="2"/>
  <c r="AQ8" i="2"/>
  <c r="AO5" i="2"/>
  <c r="V5" i="2"/>
  <c r="R5" i="2"/>
  <c r="J7" i="2"/>
  <c r="U8" i="2"/>
  <c r="BE5" i="2"/>
  <c r="AF8" i="2"/>
  <c r="H6" i="2"/>
  <c r="R8" i="2"/>
  <c r="D7" i="2"/>
  <c r="AM11" i="2"/>
  <c r="AN12" i="2"/>
  <c r="AO12" i="2"/>
  <c r="E15" i="2"/>
  <c r="O11" i="2"/>
  <c r="P12" i="2"/>
  <c r="BB11" i="2"/>
  <c r="AD14" i="2"/>
  <c r="BB16" i="2"/>
  <c r="AM16" i="2"/>
  <c r="E12" i="2"/>
  <c r="AQ12" i="2"/>
  <c r="G15" i="2"/>
  <c r="H11" i="2"/>
  <c r="AF13" i="2"/>
  <c r="BD15" i="2"/>
  <c r="U12" i="2"/>
  <c r="AS14" i="2"/>
  <c r="J12" i="2"/>
  <c r="BF15" i="2"/>
  <c r="W12" i="2"/>
  <c r="AU14" i="2"/>
  <c r="V11" i="2"/>
  <c r="X12" i="2"/>
  <c r="X15" i="2"/>
  <c r="M12" i="2"/>
  <c r="M16" i="2"/>
  <c r="AL15" i="2"/>
  <c r="X21" i="2"/>
  <c r="AY20" i="2"/>
  <c r="AN20" i="2"/>
  <c r="BH22" i="2"/>
  <c r="BI20" i="2"/>
  <c r="AE20" i="2"/>
  <c r="Q19" i="2"/>
  <c r="T22" i="2"/>
  <c r="AD19" i="2"/>
  <c r="AH21" i="2"/>
  <c r="N24" i="2"/>
  <c r="AC26" i="2"/>
  <c r="AV25" i="2"/>
  <c r="U25" i="2"/>
  <c r="AI24" i="2"/>
  <c r="AA28" i="2"/>
  <c r="L31" i="2"/>
  <c r="BC30" i="2"/>
  <c r="I28" i="2"/>
  <c r="AA38" i="2"/>
  <c r="AK36" i="2"/>
  <c r="AQ37" i="2"/>
  <c r="V38" i="2"/>
  <c r="H45" i="2"/>
  <c r="Y46" i="2"/>
  <c r="BH55" i="2"/>
  <c r="AC59" i="2"/>
  <c r="O64" i="2"/>
  <c r="O4" i="2"/>
  <c r="N5" i="2"/>
  <c r="K6" i="2"/>
  <c r="BD9" i="2"/>
  <c r="P15" i="2"/>
  <c r="AF14" i="2"/>
  <c r="AU15" i="2"/>
  <c r="O18" i="2"/>
  <c r="M20" i="2"/>
  <c r="BH29" i="2"/>
  <c r="AD34" i="2"/>
  <c r="AZ6" i="2"/>
  <c r="BG5" i="2"/>
  <c r="C15" i="2"/>
  <c r="F5" i="2"/>
  <c r="BC9" i="2"/>
  <c r="AU5" i="2"/>
  <c r="H7" i="2"/>
  <c r="AN16" i="2"/>
  <c r="BB15" i="2"/>
  <c r="AE16" i="2"/>
  <c r="W11" i="2"/>
  <c r="L11" i="2"/>
  <c r="K18" i="2"/>
  <c r="BG19" i="2"/>
  <c r="U20" i="2"/>
  <c r="AM26" i="2"/>
  <c r="AZ32" i="2"/>
  <c r="G50" i="2"/>
  <c r="AU4" i="2"/>
  <c r="AV4" i="2"/>
  <c r="AE7" i="2"/>
  <c r="BB4" i="2"/>
  <c r="AJ4" i="2"/>
  <c r="AM4" i="2"/>
  <c r="E5" i="2"/>
  <c r="AD4" i="2"/>
  <c r="G4" i="2"/>
  <c r="X4" i="2"/>
  <c r="BF4" i="2"/>
  <c r="AX4" i="2"/>
  <c r="S5" i="2"/>
  <c r="AB9" i="2"/>
  <c r="O8" i="2"/>
  <c r="Z8" i="2"/>
  <c r="BJ5" i="2"/>
  <c r="AK8" i="2"/>
  <c r="M6" i="2"/>
  <c r="R9" i="2"/>
  <c r="AZ8" i="2"/>
  <c r="AM7" i="2"/>
  <c r="L9" i="2"/>
  <c r="AV6" i="2"/>
  <c r="W9" i="2"/>
  <c r="BG6" i="2"/>
  <c r="AQ7" i="2"/>
  <c r="BF9" i="2"/>
  <c r="AS9" i="2"/>
  <c r="Q9" i="2"/>
  <c r="AT6" i="2"/>
  <c r="I8" i="2"/>
  <c r="AS5" i="2"/>
  <c r="T8" i="2"/>
  <c r="BD5" i="2"/>
  <c r="BB6" i="2"/>
  <c r="D6" i="2"/>
  <c r="O12" i="2"/>
  <c r="P13" i="2"/>
  <c r="BA12" i="2"/>
  <c r="Q15" i="2"/>
  <c r="AY11" i="2"/>
  <c r="AZ12" i="2"/>
  <c r="R12" i="2"/>
  <c r="AP14" i="2"/>
  <c r="J11" i="2"/>
  <c r="P11" i="2"/>
  <c r="R11" i="2"/>
  <c r="BC12" i="2"/>
  <c r="S15" i="2"/>
  <c r="T11" i="2"/>
  <c r="AR13" i="2"/>
  <c r="H16" i="2"/>
  <c r="AG12" i="2"/>
  <c r="BE14" i="2"/>
  <c r="AT12" i="2"/>
  <c r="J16" i="2"/>
  <c r="AI12" i="2"/>
  <c r="BG14" i="2"/>
  <c r="V12" i="2"/>
  <c r="AJ12" i="2"/>
  <c r="AJ15" i="2"/>
  <c r="Y12" i="2"/>
  <c r="AW16" i="2"/>
  <c r="AX15" i="2"/>
  <c r="AW20" i="2"/>
  <c r="AM21" i="2"/>
  <c r="AB21" i="2"/>
  <c r="AW22" i="2"/>
  <c r="E18" i="2"/>
  <c r="BC20" i="2"/>
  <c r="BA19" i="2"/>
  <c r="AF22" i="2"/>
  <c r="BB19" i="2"/>
  <c r="AH22" i="2"/>
  <c r="AX24" i="2"/>
  <c r="AO26" i="2"/>
  <c r="AJ26" i="2"/>
  <c r="AG25" i="2"/>
  <c r="AU26" i="2"/>
  <c r="AM30" i="2"/>
  <c r="BI31" i="2"/>
  <c r="AH28" i="2"/>
  <c r="U30" i="2"/>
  <c r="AM40" i="2"/>
  <c r="AU34" i="2"/>
  <c r="J37" i="2"/>
  <c r="W40" i="2"/>
  <c r="AE42" i="2"/>
  <c r="AT51" i="2"/>
  <c r="AL55" i="2"/>
  <c r="Q57" i="2"/>
  <c r="AD65" i="2"/>
  <c r="AY5" i="2"/>
  <c r="BH5" i="2"/>
  <c r="U7" i="2"/>
  <c r="C14" i="2"/>
  <c r="H12" i="2"/>
  <c r="AW13" i="2"/>
  <c r="I19" i="2"/>
  <c r="BI39" i="2"/>
  <c r="BD4" i="2"/>
  <c r="AA5" i="2"/>
  <c r="I7" i="2"/>
  <c r="AW4" i="2"/>
  <c r="Y7" i="2"/>
  <c r="BB9" i="2"/>
  <c r="AO4" i="2"/>
  <c r="L4" i="2"/>
  <c r="AT4" i="2"/>
  <c r="AD9" i="2"/>
  <c r="AA7" i="2"/>
  <c r="AX5" i="2"/>
  <c r="BI5" i="2"/>
  <c r="AB8" i="2"/>
  <c r="O7" i="2"/>
  <c r="AJ6" i="2"/>
  <c r="AU6" i="2"/>
  <c r="AH9" i="2"/>
  <c r="BA7" i="2"/>
  <c r="BE7" i="2"/>
  <c r="H8" i="2"/>
  <c r="BB5" i="2"/>
  <c r="AM12" i="2"/>
  <c r="AZ13" i="2"/>
  <c r="AC15" i="2"/>
  <c r="AB13" i="2"/>
  <c r="BB14" i="2"/>
  <c r="N11" i="2"/>
  <c r="AP11" i="2"/>
  <c r="AE15" i="2"/>
  <c r="AF11" i="2"/>
  <c r="BD13" i="2"/>
  <c r="T16" i="2"/>
  <c r="AS12" i="2"/>
  <c r="I15" i="2"/>
  <c r="J13" i="2"/>
  <c r="V16" i="2"/>
  <c r="K15" i="2"/>
  <c r="AH12" i="2"/>
  <c r="BH12" i="2"/>
  <c r="AV15" i="2"/>
  <c r="AK12" i="2"/>
  <c r="BI16" i="2"/>
  <c r="BJ15" i="2"/>
  <c r="BI22" i="2"/>
  <c r="C22" i="2"/>
  <c r="AZ21" i="2"/>
  <c r="AL19" i="2"/>
  <c r="E20" i="2"/>
  <c r="AE21" i="2"/>
  <c r="AO20" i="2"/>
  <c r="AR22" i="2"/>
  <c r="AD20" i="2"/>
  <c r="AI18" i="2"/>
  <c r="Z25" i="2"/>
  <c r="BA26" i="2"/>
  <c r="AK24" i="2"/>
  <c r="AS25" i="2"/>
  <c r="BG26" i="2"/>
  <c r="AY30" i="2"/>
  <c r="M32" i="2"/>
  <c r="AH29" i="2"/>
  <c r="AG30" i="2"/>
  <c r="AY40" i="2"/>
  <c r="W36" i="2"/>
  <c r="BG35" i="2"/>
  <c r="AI40" i="2"/>
  <c r="U43" i="2"/>
  <c r="AU49" i="2"/>
  <c r="AA53" i="2"/>
  <c r="E58" i="2"/>
  <c r="AP65" i="2"/>
  <c r="AP6" i="2"/>
  <c r="AI8" i="2"/>
  <c r="H5" i="2"/>
  <c r="F13" i="2"/>
  <c r="U13" i="2"/>
  <c r="BJ16" i="2"/>
  <c r="AD22" i="2"/>
  <c r="Y24" i="2"/>
  <c r="T36" i="2"/>
  <c r="AG4" i="2"/>
  <c r="BA9" i="2"/>
  <c r="BC5" i="2"/>
  <c r="T7" i="2"/>
  <c r="U4" i="2"/>
  <c r="AZ5" i="2"/>
  <c r="BE6" i="2"/>
  <c r="AP4" i="2"/>
  <c r="BG4" i="2"/>
  <c r="D9" i="2"/>
  <c r="N8" i="2"/>
  <c r="Y8" i="2"/>
  <c r="AP8" i="2"/>
  <c r="BH8" i="2"/>
  <c r="K9" i="2"/>
  <c r="S6" i="2"/>
  <c r="AG8" i="2"/>
  <c r="V6" i="2"/>
  <c r="AG5" i="2"/>
  <c r="AR5" i="2"/>
  <c r="AB5" i="2"/>
  <c r="E13" i="2"/>
  <c r="AA12" i="2"/>
  <c r="AD12" i="2"/>
  <c r="AZ11" i="2"/>
  <c r="G13" i="2"/>
  <c r="AU12" i="2"/>
  <c r="AZ4" i="2"/>
  <c r="BA4" i="2"/>
  <c r="T4" i="2"/>
  <c r="AH4" i="2"/>
  <c r="AI4" i="2"/>
  <c r="AD8" i="2"/>
  <c r="AN8" i="2"/>
  <c r="AY6" i="2"/>
  <c r="BJ7" i="2"/>
  <c r="AL5" i="2"/>
  <c r="M8" i="2"/>
  <c r="AW5" i="2"/>
  <c r="AP7" i="2"/>
  <c r="AZ7" i="2"/>
  <c r="AM6" i="2"/>
  <c r="AV8" i="2"/>
  <c r="X6" i="2"/>
  <c r="BG8" i="2"/>
  <c r="AI6" i="2"/>
  <c r="AQ5" i="2"/>
  <c r="J9" i="2"/>
  <c r="BC8" i="2"/>
  <c r="AC6" i="2"/>
  <c r="BF5" i="2"/>
  <c r="AS7" i="2"/>
  <c r="U5" i="2"/>
  <c r="BD7" i="2"/>
  <c r="AF5" i="2"/>
  <c r="AC9" i="2"/>
  <c r="AA9" i="2"/>
  <c r="O13" i="2"/>
  <c r="AB14" i="2"/>
  <c r="Q13" i="2"/>
  <c r="AO15" i="2"/>
  <c r="AY12" i="2"/>
  <c r="D14" i="2"/>
  <c r="AP12" i="2"/>
  <c r="F15" i="2"/>
  <c r="N12" i="2"/>
  <c r="AB12" i="2"/>
  <c r="F12" i="2"/>
  <c r="S13" i="2"/>
  <c r="AQ15" i="2"/>
  <c r="AR11" i="2"/>
  <c r="H14" i="2"/>
  <c r="AF16" i="2"/>
  <c r="BE12" i="2"/>
  <c r="U15" i="2"/>
  <c r="AT13" i="2"/>
  <c r="AH16" i="2"/>
  <c r="BG12" i="2"/>
  <c r="W15" i="2"/>
  <c r="BF12" i="2"/>
  <c r="L13" i="2"/>
  <c r="BH15" i="2"/>
  <c r="Y13" i="2"/>
  <c r="AL11" i="2"/>
  <c r="AL16" i="2"/>
  <c r="Z21" i="2"/>
  <c r="AM22" i="2"/>
  <c r="AB22" i="2"/>
  <c r="AC19" i="2"/>
  <c r="AC22" i="2"/>
  <c r="AQ21" i="2"/>
  <c r="AP18" i="2"/>
  <c r="BF21" i="2"/>
  <c r="BB22" i="2"/>
  <c r="BH18" i="2"/>
  <c r="O25" i="2"/>
  <c r="BI26" i="2"/>
  <c r="AX25" i="2"/>
  <c r="AS26" i="2"/>
  <c r="AU28" i="2"/>
  <c r="D28" i="2"/>
  <c r="AC30" i="2"/>
  <c r="AU32" i="2"/>
  <c r="AS32" i="2"/>
  <c r="D36" i="2"/>
  <c r="Q36" i="2"/>
  <c r="BG39" i="2"/>
  <c r="L40" i="2"/>
  <c r="AO46" i="2"/>
  <c r="D49" i="2"/>
  <c r="G54" i="2"/>
  <c r="BA57" i="2"/>
  <c r="BE66" i="2"/>
  <c r="AB7" i="2"/>
  <c r="X8" i="2"/>
  <c r="BC6" i="2"/>
  <c r="AN15" i="2"/>
  <c r="AN13" i="2"/>
  <c r="V14" i="2"/>
  <c r="F19" i="2"/>
  <c r="Z62" i="2"/>
  <c r="AC4" i="2"/>
  <c r="M5" i="2"/>
  <c r="D4" i="2"/>
  <c r="Q4" i="2"/>
  <c r="S4" i="2"/>
  <c r="V4" i="2"/>
  <c r="BE4" i="2"/>
  <c r="AD7" i="2"/>
  <c r="D8" i="2"/>
  <c r="AA6" i="2"/>
  <c r="AX7" i="2"/>
  <c r="Z5" i="2"/>
  <c r="BI7" i="2"/>
  <c r="AK5" i="2"/>
  <c r="AD6" i="2"/>
  <c r="P7" i="2"/>
  <c r="O6" i="2"/>
  <c r="AJ8" i="2"/>
  <c r="L6" i="2"/>
  <c r="AU8" i="2"/>
  <c r="W6" i="2"/>
  <c r="F9" i="2"/>
  <c r="AT8" i="2"/>
  <c r="BC7" i="2"/>
  <c r="Q5" i="2"/>
  <c r="AH5" i="2"/>
  <c r="AG7" i="2"/>
  <c r="I5" i="2"/>
  <c r="AR7" i="2"/>
  <c r="T5" i="2"/>
  <c r="AC8" i="2"/>
  <c r="AA8" i="2"/>
  <c r="AY13" i="2"/>
  <c r="D15" i="2"/>
  <c r="AC13" i="2"/>
  <c r="BA15" i="2"/>
  <c r="AA13" i="2"/>
  <c r="AN14" i="2"/>
  <c r="BB12" i="2"/>
  <c r="R15" i="2"/>
  <c r="AA11" i="2"/>
  <c r="D13" i="2"/>
  <c r="G11" i="2"/>
  <c r="AE13" i="2"/>
  <c r="BC15" i="2"/>
  <c r="BD11" i="2"/>
  <c r="T14" i="2"/>
  <c r="AR16" i="2"/>
  <c r="I13" i="2"/>
  <c r="AG15" i="2"/>
  <c r="J14" i="2"/>
  <c r="AT16" i="2"/>
  <c r="K13" i="2"/>
  <c r="AI15" i="2"/>
  <c r="AH13" i="2"/>
  <c r="X13" i="2"/>
  <c r="L16" i="2"/>
  <c r="AK13" i="2"/>
  <c r="Z12" i="2"/>
  <c r="AX16" i="2"/>
  <c r="C18" i="2"/>
  <c r="AY22" i="2"/>
  <c r="AN22" i="2"/>
  <c r="Q20" i="2"/>
  <c r="R18" i="2"/>
  <c r="BC21" i="2"/>
  <c r="AP21" i="2"/>
  <c r="W22" i="2"/>
  <c r="BE18" i="2"/>
  <c r="M19" i="2"/>
  <c r="AN24" i="2"/>
  <c r="F24" i="2"/>
  <c r="AA26" i="2"/>
  <c r="BH26" i="2"/>
  <c r="K29" i="2"/>
  <c r="P28" i="2"/>
  <c r="AO30" i="2"/>
  <c r="AV28" i="2"/>
  <c r="BE32" i="2"/>
  <c r="P36" i="2"/>
  <c r="E37" i="2"/>
  <c r="AV34" i="2"/>
  <c r="X40" i="2"/>
  <c r="BB42" i="2"/>
  <c r="P49" i="2"/>
  <c r="S54" i="2"/>
  <c r="AC58" i="2"/>
  <c r="G64" i="2"/>
  <c r="AQ19" i="2"/>
  <c r="G22" i="2"/>
  <c r="L20" i="2"/>
  <c r="Q21" i="2"/>
  <c r="H18" i="2"/>
  <c r="AF20" i="2"/>
  <c r="BD22" i="2"/>
  <c r="AV20" i="2"/>
  <c r="BA18" i="2"/>
  <c r="BB20" i="2"/>
  <c r="AG19" i="2"/>
  <c r="BE21" i="2"/>
  <c r="AI19" i="2"/>
  <c r="AK22" i="2"/>
  <c r="L24" i="2"/>
  <c r="BJ25" i="2"/>
  <c r="P25" i="2"/>
  <c r="AO24" i="2"/>
  <c r="BH24" i="2"/>
  <c r="AD26" i="2"/>
  <c r="AR25" i="2"/>
  <c r="Y25" i="2"/>
  <c r="AD25" i="2"/>
  <c r="H24" i="2"/>
  <c r="BE25" i="2"/>
  <c r="AW25" i="2"/>
  <c r="AD24" i="2"/>
  <c r="V25" i="2"/>
  <c r="AU24" i="2"/>
  <c r="V28" i="2"/>
  <c r="AU29" i="2"/>
  <c r="BH30" i="2"/>
  <c r="BI32" i="2"/>
  <c r="Z31" i="2"/>
  <c r="AM28" i="2"/>
  <c r="C31" i="2"/>
  <c r="AB28" i="2"/>
  <c r="AZ30" i="2"/>
  <c r="AT28" i="2"/>
  <c r="BG29" i="2"/>
  <c r="AJ31" i="2"/>
  <c r="AW32" i="2"/>
  <c r="E31" i="2"/>
  <c r="BB28" i="2"/>
  <c r="R31" i="2"/>
  <c r="AQ28" i="2"/>
  <c r="G31" i="2"/>
  <c r="V30" i="2"/>
  <c r="AV29" i="2"/>
  <c r="N29" i="2"/>
  <c r="AF28" i="2"/>
  <c r="BD30" i="2"/>
  <c r="U28" i="2"/>
  <c r="AS30" i="2"/>
  <c r="BF34" i="2"/>
  <c r="BJ36" i="2"/>
  <c r="AX40" i="2"/>
  <c r="O36" i="2"/>
  <c r="AM38" i="2"/>
  <c r="D34" i="2"/>
  <c r="AB36" i="2"/>
  <c r="AZ38" i="2"/>
  <c r="W35" i="2"/>
  <c r="AC39" i="2"/>
  <c r="Z34" i="2"/>
  <c r="AI39" i="2"/>
  <c r="BA37" i="2"/>
  <c r="BB34" i="2"/>
  <c r="AP37" i="2"/>
  <c r="AE34" i="2"/>
  <c r="BC37" i="2"/>
  <c r="AU38" i="2"/>
  <c r="AJ35" i="2"/>
  <c r="AR36" i="2"/>
  <c r="I34" i="2"/>
  <c r="U38" i="2"/>
  <c r="AH38" i="2"/>
  <c r="AU40" i="2"/>
  <c r="AJ40" i="2"/>
  <c r="Y40" i="2"/>
  <c r="BA45" i="2"/>
  <c r="AN42" i="2"/>
  <c r="T45" i="2"/>
  <c r="BE43" i="2"/>
  <c r="AD44" i="2"/>
  <c r="Q43" i="2"/>
  <c r="C44" i="2"/>
  <c r="AJ45" i="2"/>
  <c r="AK46" i="2"/>
  <c r="BG50" i="2"/>
  <c r="AB49" i="2"/>
  <c r="Q48" i="2"/>
  <c r="J48" i="2"/>
  <c r="AG48" i="2"/>
  <c r="AW53" i="2"/>
  <c r="AY53" i="2"/>
  <c r="AQ54" i="2"/>
  <c r="J53" i="2"/>
  <c r="AY61" i="2"/>
  <c r="C61" i="2"/>
  <c r="Q60" i="2"/>
  <c r="BA58" i="2"/>
  <c r="Q59" i="2"/>
  <c r="O59" i="2"/>
  <c r="Y62" i="2"/>
  <c r="BH61" i="2"/>
  <c r="AY64" i="2"/>
  <c r="BB65" i="2"/>
  <c r="J64" i="2"/>
  <c r="AJ11" i="2"/>
  <c r="BH13" i="2"/>
  <c r="X16" i="2"/>
  <c r="AW12" i="2"/>
  <c r="M15" i="2"/>
  <c r="AL12" i="2"/>
  <c r="BJ14" i="2"/>
  <c r="J20" i="2"/>
  <c r="AV22" i="2"/>
  <c r="AM18" i="2"/>
  <c r="C21" i="2"/>
  <c r="AB18" i="2"/>
  <c r="AZ20" i="2"/>
  <c r="BF19" i="2"/>
  <c r="BI18" i="2"/>
  <c r="V19" i="2"/>
  <c r="BI21" i="2"/>
  <c r="R20" i="2"/>
  <c r="BC19" i="2"/>
  <c r="S22" i="2"/>
  <c r="BH21" i="2"/>
  <c r="BA21" i="2"/>
  <c r="T18" i="2"/>
  <c r="AR20" i="2"/>
  <c r="AH18" i="2"/>
  <c r="AJ21" i="2"/>
  <c r="AO19" i="2"/>
  <c r="AD21" i="2"/>
  <c r="AS19" i="2"/>
  <c r="I22" i="2"/>
  <c r="AU20" i="2"/>
  <c r="N19" i="2"/>
  <c r="AV24" i="2"/>
  <c r="Z26" i="2"/>
  <c r="AB25" i="2"/>
  <c r="BA24" i="2"/>
  <c r="X26" i="2"/>
  <c r="S24" i="2"/>
  <c r="BD25" i="2"/>
  <c r="M26" i="2"/>
  <c r="F26" i="2"/>
  <c r="AF24" i="2"/>
  <c r="I26" i="2"/>
  <c r="AW26" i="2"/>
  <c r="F25" i="2"/>
  <c r="AH25" i="2"/>
  <c r="BG24" i="2"/>
  <c r="BF28" i="2"/>
  <c r="AI30" i="2"/>
  <c r="AV31" i="2"/>
  <c r="AL28" i="2"/>
  <c r="AL31" i="2"/>
  <c r="AY28" i="2"/>
  <c r="O31" i="2"/>
  <c r="AN28" i="2"/>
  <c r="D31" i="2"/>
  <c r="J29" i="2"/>
  <c r="W30" i="2"/>
  <c r="L32" i="2"/>
  <c r="N28" i="2"/>
  <c r="AC31" i="2"/>
  <c r="F29" i="2"/>
  <c r="AD31" i="2"/>
  <c r="BC28" i="2"/>
  <c r="S31" i="2"/>
  <c r="J31" i="2"/>
  <c r="X30" i="2"/>
  <c r="E28" i="2"/>
  <c r="AR28" i="2"/>
  <c r="H31" i="2"/>
  <c r="AG28" i="2"/>
  <c r="BE30" i="2"/>
  <c r="AT36" i="2"/>
  <c r="Z37" i="2"/>
  <c r="C34" i="2"/>
  <c r="AA36" i="2"/>
  <c r="AY38" i="2"/>
  <c r="P34" i="2"/>
  <c r="AN36" i="2"/>
  <c r="D39" i="2"/>
  <c r="W37" i="2"/>
  <c r="AO40" i="2"/>
  <c r="AL35" i="2"/>
  <c r="X35" i="2"/>
  <c r="Q38" i="2"/>
  <c r="F35" i="2"/>
  <c r="BB37" i="2"/>
  <c r="BC34" i="2"/>
  <c r="G38" i="2"/>
  <c r="Y35" i="2"/>
  <c r="AC34" i="2"/>
  <c r="BD36" i="2"/>
  <c r="U34" i="2"/>
  <c r="AG38" i="2"/>
  <c r="AT38" i="2"/>
  <c r="BG40" i="2"/>
  <c r="AV40" i="2"/>
  <c r="AK40" i="2"/>
  <c r="AD46" i="2"/>
  <c r="P44" i="2"/>
  <c r="AF46" i="2"/>
  <c r="I44" i="2"/>
  <c r="BB45" i="2"/>
  <c r="AD45" i="2"/>
  <c r="AA45" i="2"/>
  <c r="AM44" i="2"/>
  <c r="E43" i="2"/>
  <c r="BI51" i="2"/>
  <c r="AB51" i="2"/>
  <c r="Q50" i="2"/>
  <c r="G51" i="2"/>
  <c r="AG50" i="2"/>
  <c r="AA54" i="2"/>
  <c r="AN54" i="2"/>
  <c r="BD53" i="2"/>
  <c r="J55" i="2"/>
  <c r="AZ57" i="2"/>
  <c r="R58" i="2"/>
  <c r="BC57" i="2"/>
  <c r="H58" i="2"/>
  <c r="AG57" i="2"/>
  <c r="BF60" i="2"/>
  <c r="BF57" i="2"/>
  <c r="V64" i="2"/>
  <c r="BA64" i="2"/>
  <c r="AE65" i="2"/>
  <c r="V66" i="2"/>
  <c r="BI12" i="2"/>
  <c r="Y15" i="2"/>
  <c r="AX12" i="2"/>
  <c r="N15" i="2"/>
  <c r="V21" i="2"/>
  <c r="AK18" i="2"/>
  <c r="AY18" i="2"/>
  <c r="O21" i="2"/>
  <c r="AN18" i="2"/>
  <c r="D21" i="2"/>
  <c r="BF20" i="2"/>
  <c r="Y20" i="2"/>
  <c r="AT20" i="2"/>
  <c r="AX18" i="2"/>
  <c r="R21" i="2"/>
  <c r="G20" i="2"/>
  <c r="AE22" i="2"/>
  <c r="M18" i="2"/>
  <c r="AO22" i="2"/>
  <c r="AF18" i="2"/>
  <c r="BD20" i="2"/>
  <c r="AT19" i="2"/>
  <c r="AJ22" i="2"/>
  <c r="AC20" i="2"/>
  <c r="BB21" i="2"/>
  <c r="BE19" i="2"/>
  <c r="U22" i="2"/>
  <c r="AI21" i="2"/>
  <c r="BJ19" i="2"/>
  <c r="AJ25" i="2"/>
  <c r="C24" i="2"/>
  <c r="AN25" i="2"/>
  <c r="E25" i="2"/>
  <c r="M24" i="2"/>
  <c r="AQ24" i="2"/>
  <c r="H26" i="2"/>
  <c r="Y26" i="2"/>
  <c r="AP26" i="2"/>
  <c r="BD24" i="2"/>
  <c r="U26" i="2"/>
  <c r="Z24" i="2"/>
  <c r="R25" i="2"/>
  <c r="AT25" i="2"/>
  <c r="K25" i="2"/>
  <c r="V29" i="2"/>
  <c r="BG30" i="2"/>
  <c r="X32" i="2"/>
  <c r="BJ28" i="2"/>
  <c r="AX31" i="2"/>
  <c r="C29" i="2"/>
  <c r="AA31" i="2"/>
  <c r="AZ28" i="2"/>
  <c r="P31" i="2"/>
  <c r="AT29" i="2"/>
  <c r="AU30" i="2"/>
  <c r="AV32" i="2"/>
  <c r="AX28" i="2"/>
  <c r="AO31" i="2"/>
  <c r="R29" i="2"/>
  <c r="AP31" i="2"/>
  <c r="G29" i="2"/>
  <c r="AE31" i="2"/>
  <c r="BF31" i="2"/>
  <c r="X31" i="2"/>
  <c r="AC28" i="2"/>
  <c r="BD28" i="2"/>
  <c r="T31" i="2"/>
  <c r="AS28" i="2"/>
  <c r="I31" i="2"/>
  <c r="AI34" i="2"/>
  <c r="AL37" i="2"/>
  <c r="O34" i="2"/>
  <c r="AM36" i="2"/>
  <c r="C39" i="2"/>
  <c r="AB34" i="2"/>
  <c r="AZ36" i="2"/>
  <c r="P39" i="2"/>
  <c r="BG38" i="2"/>
  <c r="V35" i="2"/>
  <c r="E34" i="2"/>
  <c r="BH36" i="2"/>
  <c r="BA38" i="2"/>
  <c r="R35" i="2"/>
  <c r="AP38" i="2"/>
  <c r="G35" i="2"/>
  <c r="BC38" i="2"/>
  <c r="Y36" i="2"/>
  <c r="AC35" i="2"/>
  <c r="H37" i="2"/>
  <c r="AG34" i="2"/>
  <c r="BE38" i="2"/>
  <c r="AT39" i="2"/>
  <c r="AT37" i="2"/>
  <c r="BH40" i="2"/>
  <c r="AI38" i="2"/>
  <c r="AQ42" i="2"/>
  <c r="AB46" i="2"/>
  <c r="AM42" i="2"/>
  <c r="U44" i="2"/>
  <c r="J43" i="2"/>
  <c r="G43" i="2"/>
  <c r="D42" i="2"/>
  <c r="AY45" i="2"/>
  <c r="AO44" i="2"/>
  <c r="Z48" i="2"/>
  <c r="AN51" i="2"/>
  <c r="AC50" i="2"/>
  <c r="AT48" i="2"/>
  <c r="AS50" i="2"/>
  <c r="AY54" i="2"/>
  <c r="AZ54" i="2"/>
  <c r="H54" i="2"/>
  <c r="V55" i="2"/>
  <c r="D58" i="2"/>
  <c r="AD58" i="2"/>
  <c r="G58" i="2"/>
  <c r="T58" i="2"/>
  <c r="AS57" i="2"/>
  <c r="V61" i="2"/>
  <c r="AH58" i="2"/>
  <c r="BI64" i="2"/>
  <c r="E65" i="2"/>
  <c r="AQ65" i="2"/>
  <c r="AH66" i="2"/>
  <c r="M13" i="2"/>
  <c r="AK15" i="2"/>
  <c r="BJ12" i="2"/>
  <c r="Z15" i="2"/>
  <c r="AT22" i="2"/>
  <c r="Y19" i="2"/>
  <c r="C19" i="2"/>
  <c r="AA21" i="2"/>
  <c r="AZ18" i="2"/>
  <c r="P21" i="2"/>
  <c r="V22" i="2"/>
  <c r="AK21" i="2"/>
  <c r="J22" i="2"/>
  <c r="AL20" i="2"/>
  <c r="F22" i="2"/>
  <c r="S20" i="2"/>
  <c r="AQ22" i="2"/>
  <c r="AK19" i="2"/>
  <c r="F18" i="2"/>
  <c r="AR18" i="2"/>
  <c r="H21" i="2"/>
  <c r="J21" i="2"/>
  <c r="AW18" i="2"/>
  <c r="BA20" i="2"/>
  <c r="R22" i="2"/>
  <c r="I20" i="2"/>
  <c r="AG22" i="2"/>
  <c r="AU22" i="2"/>
  <c r="Z20" i="2"/>
  <c r="BH25" i="2"/>
  <c r="AM24" i="2"/>
  <c r="AZ25" i="2"/>
  <c r="Q25" i="2"/>
  <c r="AK25" i="2"/>
  <c r="G25" i="2"/>
  <c r="T26" i="2"/>
  <c r="AL24" i="2"/>
  <c r="G24" i="2"/>
  <c r="I24" i="2"/>
  <c r="AG26" i="2"/>
  <c r="BJ24" i="2"/>
  <c r="BB25" i="2"/>
  <c r="BF25" i="2"/>
  <c r="W25" i="2"/>
  <c r="BF29" i="2"/>
  <c r="AI31" i="2"/>
  <c r="BH32" i="2"/>
  <c r="AL29" i="2"/>
  <c r="BJ31" i="2"/>
  <c r="O29" i="2"/>
  <c r="AM31" i="2"/>
  <c r="D29" i="2"/>
  <c r="AB31" i="2"/>
  <c r="J30" i="2"/>
  <c r="W31" i="2"/>
  <c r="M28" i="2"/>
  <c r="Z29" i="2"/>
  <c r="BA31" i="2"/>
  <c r="AD29" i="2"/>
  <c r="BB31" i="2"/>
  <c r="S29" i="2"/>
  <c r="AQ31" i="2"/>
  <c r="AH32" i="2"/>
  <c r="BH31" i="2"/>
  <c r="E29" i="2"/>
  <c r="H29" i="2"/>
  <c r="AF31" i="2"/>
  <c r="BE28" i="2"/>
  <c r="U31" i="2"/>
  <c r="BG36" i="2"/>
  <c r="BJ37" i="2"/>
  <c r="AA34" i="2"/>
  <c r="AY36" i="2"/>
  <c r="O39" i="2"/>
  <c r="AN34" i="2"/>
  <c r="D37" i="2"/>
  <c r="AB39" i="2"/>
  <c r="X36" i="2"/>
  <c r="AH36" i="2"/>
  <c r="E35" i="2"/>
  <c r="M34" i="2"/>
  <c r="AO39" i="2"/>
  <c r="AD35" i="2"/>
  <c r="BB38" i="2"/>
  <c r="S35" i="2"/>
  <c r="G39" i="2"/>
  <c r="AL34" i="2"/>
  <c r="AO37" i="2"/>
  <c r="H38" i="2"/>
  <c r="AS34" i="2"/>
  <c r="I39" i="2"/>
  <c r="BF39" i="2"/>
  <c r="X37" i="2"/>
  <c r="L34" i="2"/>
  <c r="M35" i="2"/>
  <c r="S43" i="2"/>
  <c r="AP44" i="2"/>
  <c r="AA44" i="2"/>
  <c r="AG44" i="2"/>
  <c r="AT43" i="2"/>
  <c r="AU42" i="2"/>
  <c r="F44" i="2"/>
  <c r="AZ42" i="2"/>
  <c r="AO45" i="2"/>
  <c r="AX48" i="2"/>
  <c r="AZ51" i="2"/>
  <c r="AO50" i="2"/>
  <c r="V50" i="2"/>
  <c r="BE50" i="2"/>
  <c r="O55" i="2"/>
  <c r="P55" i="2"/>
  <c r="T54" i="2"/>
  <c r="AH55" i="2"/>
  <c r="P58" i="2"/>
  <c r="AP58" i="2"/>
  <c r="S58" i="2"/>
  <c r="AF58" i="2"/>
  <c r="BE57" i="2"/>
  <c r="AT61" i="2"/>
  <c r="BF58" i="2"/>
  <c r="AK65" i="2"/>
  <c r="Q65" i="2"/>
  <c r="G66" i="2"/>
  <c r="AT66" i="2"/>
  <c r="AL25" i="2"/>
  <c r="R26" i="2"/>
  <c r="J26" i="2"/>
  <c r="AI25" i="2"/>
  <c r="AH30" i="2"/>
  <c r="K32" i="2"/>
  <c r="AK28" i="2"/>
  <c r="AX29" i="2"/>
  <c r="N32" i="2"/>
  <c r="AA29" i="2"/>
  <c r="AY31" i="2"/>
  <c r="P29" i="2"/>
  <c r="AN31" i="2"/>
  <c r="AT30" i="2"/>
  <c r="BG31" i="2"/>
  <c r="AW28" i="2"/>
  <c r="Q28" i="2"/>
  <c r="Q32" i="2"/>
  <c r="AP29" i="2"/>
  <c r="F32" i="2"/>
  <c r="AE29" i="2"/>
  <c r="BC31" i="2"/>
  <c r="W28" i="2"/>
  <c r="AJ32" i="2"/>
  <c r="AC29" i="2"/>
  <c r="T29" i="2"/>
  <c r="AR31" i="2"/>
  <c r="I29" i="2"/>
  <c r="AG31" i="2"/>
  <c r="W39" i="2"/>
  <c r="Z38" i="2"/>
  <c r="AM34" i="2"/>
  <c r="C37" i="2"/>
  <c r="AA39" i="2"/>
  <c r="AZ34" i="2"/>
  <c r="P37" i="2"/>
  <c r="AN39" i="2"/>
  <c r="BI34" i="2"/>
  <c r="K35" i="2"/>
  <c r="E36" i="2"/>
  <c r="AK35" i="2"/>
  <c r="BA39" i="2"/>
  <c r="BB35" i="2"/>
  <c r="F39" i="2"/>
  <c r="AE35" i="2"/>
  <c r="S39" i="2"/>
  <c r="N36" i="2"/>
  <c r="E39" i="2"/>
  <c r="T38" i="2"/>
  <c r="BE34" i="2"/>
  <c r="U39" i="2"/>
  <c r="V40" i="2"/>
  <c r="AV37" i="2"/>
  <c r="Y34" i="2"/>
  <c r="Y37" i="2"/>
  <c r="AE43" i="2"/>
  <c r="T42" i="2"/>
  <c r="AY46" i="2"/>
  <c r="AS45" i="2"/>
  <c r="BF43" i="2"/>
  <c r="BG42" i="2"/>
  <c r="H42" i="2"/>
  <c r="I42" i="2"/>
  <c r="AL42" i="2"/>
  <c r="O48" i="2"/>
  <c r="BF49" i="2"/>
  <c r="AP48" i="2"/>
  <c r="BC50" i="2"/>
  <c r="AV48" i="2"/>
  <c r="Q53" i="2"/>
  <c r="AP54" i="2"/>
  <c r="U53" i="2"/>
  <c r="AI54" i="2"/>
  <c r="P60" i="2"/>
  <c r="AP60" i="2"/>
  <c r="S60" i="2"/>
  <c r="AF60" i="2"/>
  <c r="BE59" i="2"/>
  <c r="AI58" i="2"/>
  <c r="AH62" i="2"/>
  <c r="AY65" i="2"/>
  <c r="M64" i="2"/>
  <c r="H65" i="2"/>
  <c r="AU65" i="2"/>
  <c r="W19" i="2"/>
  <c r="AW21" i="2"/>
  <c r="AA19" i="2"/>
  <c r="AY21" i="2"/>
  <c r="P19" i="2"/>
  <c r="AN21" i="2"/>
  <c r="AU19" i="2"/>
  <c r="Z18" i="2"/>
  <c r="AI20" i="2"/>
  <c r="E19" i="2"/>
  <c r="S18" i="2"/>
  <c r="AQ20" i="2"/>
  <c r="J19" i="2"/>
  <c r="M22" i="2"/>
  <c r="R19" i="2"/>
  <c r="H19" i="2"/>
  <c r="AF21" i="2"/>
  <c r="W18" i="2"/>
  <c r="M21" i="2"/>
  <c r="Q22" i="2"/>
  <c r="I18" i="2"/>
  <c r="AG20" i="2"/>
  <c r="BE22" i="2"/>
  <c r="BH19" i="2"/>
  <c r="AX21" i="2"/>
  <c r="AW24" i="2"/>
  <c r="AY25" i="2"/>
  <c r="P26" i="2"/>
  <c r="AO25" i="2"/>
  <c r="N25" i="2"/>
  <c r="G26" i="2"/>
  <c r="AR26" i="2"/>
  <c r="AX26" i="2"/>
  <c r="BC24" i="2"/>
  <c r="AG24" i="2"/>
  <c r="BE26" i="2"/>
  <c r="N26" i="2"/>
  <c r="BB26" i="2"/>
  <c r="V26" i="2"/>
  <c r="AU25" i="2"/>
  <c r="BF30" i="2"/>
  <c r="AI32" i="2"/>
  <c r="BI28" i="2"/>
  <c r="BJ29" i="2"/>
  <c r="Z32" i="2"/>
  <c r="AM29" i="2"/>
  <c r="C32" i="2"/>
  <c r="AB29" i="2"/>
  <c r="AZ31" i="2"/>
  <c r="V31" i="2"/>
  <c r="BG32" i="2"/>
  <c r="Y29" i="2"/>
  <c r="AO28" i="2"/>
  <c r="AC32" i="2"/>
  <c r="BB29" i="2"/>
  <c r="R32" i="2"/>
  <c r="AQ29" i="2"/>
  <c r="G32" i="2"/>
  <c r="W29" i="2"/>
  <c r="Y28" i="2"/>
  <c r="BA29" i="2"/>
  <c r="AF29" i="2"/>
  <c r="BD31" i="2"/>
  <c r="U29" i="2"/>
  <c r="AS31" i="2"/>
  <c r="L35" i="2"/>
  <c r="AL38" i="2"/>
  <c r="AY34" i="2"/>
  <c r="O37" i="2"/>
  <c r="AM39" i="2"/>
  <c r="D35" i="2"/>
  <c r="AB37" i="2"/>
  <c r="AZ39" i="2"/>
  <c r="BI36" i="2"/>
  <c r="AI36" i="2"/>
  <c r="Q37" i="2"/>
  <c r="AW37" i="2"/>
  <c r="E40" i="2"/>
  <c r="F36" i="2"/>
  <c r="AD39" i="2"/>
  <c r="AQ35" i="2"/>
  <c r="AQ39" i="2"/>
  <c r="BA34" i="2"/>
  <c r="H34" i="2"/>
  <c r="AR38" i="2"/>
  <c r="BE35" i="2"/>
  <c r="AG39" i="2"/>
  <c r="AH40" i="2"/>
  <c r="BH37" i="2"/>
  <c r="M36" i="2"/>
  <c r="Z35" i="2"/>
  <c r="AQ44" i="2"/>
  <c r="AF42" i="2"/>
  <c r="P43" i="2"/>
  <c r="U46" i="2"/>
  <c r="J44" i="2"/>
  <c r="K44" i="2"/>
  <c r="L42" i="2"/>
  <c r="W42" i="2"/>
  <c r="AX42" i="2"/>
  <c r="AA48" i="2"/>
  <c r="AH50" i="2"/>
  <c r="BB48" i="2"/>
  <c r="S51" i="2"/>
  <c r="BH49" i="2"/>
  <c r="AC53" i="2"/>
  <c r="BB54" i="2"/>
  <c r="AG53" i="2"/>
  <c r="AU54" i="2"/>
  <c r="AB60" i="2"/>
  <c r="BB60" i="2"/>
  <c r="AE60" i="2"/>
  <c r="AR60" i="2"/>
  <c r="I60" i="2"/>
  <c r="AU58" i="2"/>
  <c r="AT62" i="2"/>
  <c r="AA66" i="2"/>
  <c r="AK64" i="2"/>
  <c r="T65" i="2"/>
  <c r="BG65" i="2"/>
  <c r="F20" i="2"/>
  <c r="T19" i="2"/>
  <c r="AR21" i="2"/>
  <c r="K19" i="2"/>
  <c r="Y22" i="2"/>
  <c r="BA22" i="2"/>
  <c r="U18" i="2"/>
  <c r="AS20" i="2"/>
  <c r="V20" i="2"/>
  <c r="BH20" i="2"/>
  <c r="BJ21" i="2"/>
  <c r="M25" i="2"/>
  <c r="AY26" i="2"/>
  <c r="AB26" i="2"/>
  <c r="BA25" i="2"/>
  <c r="AL26" i="2"/>
  <c r="AQ26" i="2"/>
  <c r="BD26" i="2"/>
  <c r="O24" i="2"/>
  <c r="S25" i="2"/>
  <c r="AS24" i="2"/>
  <c r="AJ24" i="2"/>
  <c r="BJ26" i="2"/>
  <c r="J24" i="2"/>
  <c r="AH26" i="2"/>
  <c r="BG25" i="2"/>
  <c r="AH31" i="2"/>
  <c r="L28" i="2"/>
  <c r="AK29" i="2"/>
  <c r="N30" i="2"/>
  <c r="AL32" i="2"/>
  <c r="AY29" i="2"/>
  <c r="O32" i="2"/>
  <c r="AN29" i="2"/>
  <c r="D32" i="2"/>
  <c r="AT31" i="2"/>
  <c r="X28" i="2"/>
  <c r="AW29" i="2"/>
  <c r="BA28" i="2"/>
  <c r="AO32" i="2"/>
  <c r="F30" i="2"/>
  <c r="AD32" i="2"/>
  <c r="BC29" i="2"/>
  <c r="S32" i="2"/>
  <c r="K30" i="2"/>
  <c r="M29" i="2"/>
  <c r="Q30" i="2"/>
  <c r="AR29" i="2"/>
  <c r="H32" i="2"/>
  <c r="AG29" i="2"/>
  <c r="BE31" i="2"/>
  <c r="L37" i="2"/>
  <c r="BJ38" i="2"/>
  <c r="C35" i="2"/>
  <c r="AA37" i="2"/>
  <c r="AY39" i="2"/>
  <c r="P35" i="2"/>
  <c r="AN37" i="2"/>
  <c r="D40" i="2"/>
  <c r="AX35" i="2"/>
  <c r="K38" i="2"/>
  <c r="AO38" i="2"/>
  <c r="BJ34" i="2"/>
  <c r="Q40" i="2"/>
  <c r="R36" i="2"/>
  <c r="AP39" i="2"/>
  <c r="AE36" i="2"/>
  <c r="BC39" i="2"/>
  <c r="H35" i="2"/>
  <c r="T34" i="2"/>
  <c r="BD38" i="2"/>
  <c r="I36" i="2"/>
  <c r="AS39" i="2"/>
  <c r="AT40" i="2"/>
  <c r="L38" i="2"/>
  <c r="M37" i="2"/>
  <c r="AX36" i="2"/>
  <c r="S45" i="2"/>
  <c r="AR42" i="2"/>
  <c r="Q45" i="2"/>
  <c r="AG46" i="2"/>
  <c r="V44" i="2"/>
  <c r="AU44" i="2"/>
  <c r="BH42" i="2"/>
  <c r="X42" i="2"/>
  <c r="BJ42" i="2"/>
  <c r="AM48" i="2"/>
  <c r="K48" i="2"/>
  <c r="F49" i="2"/>
  <c r="AQ51" i="2"/>
  <c r="AJ50" i="2"/>
  <c r="AO53" i="2"/>
  <c r="F55" i="2"/>
  <c r="AS53" i="2"/>
  <c r="BG54" i="2"/>
  <c r="AN60" i="2"/>
  <c r="F61" i="2"/>
  <c r="AQ60" i="2"/>
  <c r="BD60" i="2"/>
  <c r="U60" i="2"/>
  <c r="BG58" i="2"/>
  <c r="L57" i="2"/>
  <c r="D64" i="2"/>
  <c r="M65" i="2"/>
  <c r="AF65" i="2"/>
  <c r="K66" i="2"/>
  <c r="V13" i="2"/>
  <c r="AV12" i="2"/>
  <c r="L15" i="2"/>
  <c r="AK11" i="2"/>
  <c r="BI13" i="2"/>
  <c r="Y16" i="2"/>
  <c r="AX13" i="2"/>
  <c r="N16" i="2"/>
  <c r="K21" i="2"/>
  <c r="AL18" i="2"/>
  <c r="AY19" i="2"/>
  <c r="O22" i="2"/>
  <c r="AN19" i="2"/>
  <c r="D22" i="2"/>
  <c r="AU21" i="2"/>
  <c r="BJ20" i="2"/>
  <c r="L18" i="2"/>
  <c r="E21" i="2"/>
  <c r="AQ18" i="2"/>
  <c r="G21" i="2"/>
  <c r="AT21" i="2"/>
  <c r="N21" i="2"/>
  <c r="AP20" i="2"/>
  <c r="AF19" i="2"/>
  <c r="BD21" i="2"/>
  <c r="K20" i="2"/>
  <c r="N18" i="2"/>
  <c r="AD18" i="2"/>
  <c r="AG18" i="2"/>
  <c r="BE20" i="2"/>
  <c r="V18" i="2"/>
  <c r="L22" i="2"/>
  <c r="N22" i="2"/>
  <c r="BI25" i="2"/>
  <c r="P24" i="2"/>
  <c r="AN26" i="2"/>
  <c r="E26" i="2"/>
  <c r="C25" i="2"/>
  <c r="T24" i="2"/>
  <c r="X24" i="2"/>
  <c r="AY24" i="2"/>
  <c r="AE25" i="2"/>
  <c r="BE24" i="2"/>
  <c r="X25" i="2"/>
  <c r="AA24" i="2"/>
  <c r="V24" i="2"/>
  <c r="AT26" i="2"/>
  <c r="K26" i="2"/>
  <c r="J32" i="2"/>
  <c r="AJ28" i="2"/>
  <c r="M30" i="2"/>
  <c r="Z30" i="2"/>
  <c r="AX32" i="2"/>
  <c r="C30" i="2"/>
  <c r="AA32" i="2"/>
  <c r="AZ29" i="2"/>
  <c r="P32" i="2"/>
  <c r="V32" i="2"/>
  <c r="L29" i="2"/>
  <c r="Y30" i="2"/>
  <c r="Q29" i="2"/>
  <c r="BA32" i="2"/>
  <c r="R30" i="2"/>
  <c r="AP32" i="2"/>
  <c r="G30" i="2"/>
  <c r="AE32" i="2"/>
  <c r="K31" i="2"/>
  <c r="BI29" i="2"/>
  <c r="BA30" i="2"/>
  <c r="BD29" i="2"/>
  <c r="T32" i="2"/>
  <c r="AS29" i="2"/>
  <c r="I32" i="2"/>
  <c r="AW35" i="2"/>
  <c r="Z39" i="2"/>
  <c r="O35" i="2"/>
  <c r="AM37" i="2"/>
  <c r="C40" i="2"/>
  <c r="AB35" i="2"/>
  <c r="AZ37" i="2"/>
  <c r="P40" i="2"/>
  <c r="Q34" i="2"/>
  <c r="X34" i="2"/>
  <c r="AC40" i="2"/>
  <c r="AL36" i="2"/>
  <c r="BA40" i="2"/>
  <c r="AD36" i="2"/>
  <c r="BB39" i="2"/>
  <c r="AQ36" i="2"/>
  <c r="G40" i="2"/>
  <c r="J34" i="2"/>
  <c r="AF34" i="2"/>
  <c r="H39" i="2"/>
  <c r="AG36" i="2"/>
  <c r="AS40" i="2"/>
  <c r="BF40" i="2"/>
  <c r="X38" i="2"/>
  <c r="BI37" i="2"/>
  <c r="AL39" i="2"/>
  <c r="AE45" i="2"/>
  <c r="BD42" i="2"/>
  <c r="AP43" i="2"/>
  <c r="AS46" i="2"/>
  <c r="AH45" i="2"/>
  <c r="BG44" i="2"/>
  <c r="L43" i="2"/>
  <c r="AW43" i="2"/>
  <c r="BJ44" i="2"/>
  <c r="AM50" i="2"/>
  <c r="Y50" i="2"/>
  <c r="F51" i="2"/>
  <c r="AR49" i="2"/>
  <c r="X50" i="2"/>
  <c r="AO55" i="2"/>
  <c r="L55" i="2"/>
  <c r="AS55" i="2"/>
  <c r="M59" i="2"/>
  <c r="AN62" i="2"/>
  <c r="BI57" i="2"/>
  <c r="AQ62" i="2"/>
  <c r="BD62" i="2"/>
  <c r="U62" i="2"/>
  <c r="BG60" i="2"/>
  <c r="L59" i="2"/>
  <c r="AN66" i="2"/>
  <c r="O65" i="2"/>
  <c r="AG64" i="2"/>
  <c r="L65" i="2"/>
  <c r="M14" i="2"/>
  <c r="AK16" i="2"/>
  <c r="BJ13" i="2"/>
  <c r="Z16" i="2"/>
  <c r="AI22" i="2"/>
  <c r="AX19" i="2"/>
  <c r="C20" i="2"/>
  <c r="AA22" i="2"/>
  <c r="AZ19" i="2"/>
  <c r="P22" i="2"/>
  <c r="BG22" i="2"/>
  <c r="AO18" i="2"/>
  <c r="AV19" i="2"/>
  <c r="AO21" i="2"/>
  <c r="BC18" i="2"/>
  <c r="S21" i="2"/>
  <c r="BF22" i="2"/>
  <c r="AC18" i="2"/>
  <c r="F21" i="2"/>
  <c r="AR19" i="2"/>
  <c r="H22" i="2"/>
  <c r="W21" i="2"/>
  <c r="Z19" i="2"/>
  <c r="BB18" i="2"/>
  <c r="AS18" i="2"/>
  <c r="I21" i="2"/>
  <c r="AH19" i="2"/>
  <c r="Y18" i="2"/>
  <c r="Z22" i="2"/>
  <c r="AK26" i="2"/>
  <c r="AB24" i="2"/>
  <c r="AZ26" i="2"/>
  <c r="Q26" i="2"/>
  <c r="O26" i="2"/>
  <c r="AR24" i="2"/>
  <c r="L25" i="2"/>
  <c r="AM25" i="2"/>
  <c r="BC25" i="2"/>
  <c r="I25" i="2"/>
  <c r="L26" i="2"/>
  <c r="AA25" i="2"/>
  <c r="AH24" i="2"/>
  <c r="BF26" i="2"/>
  <c r="W26" i="2"/>
  <c r="AT32" i="2"/>
  <c r="BH28" i="2"/>
  <c r="AK30" i="2"/>
  <c r="AL30" i="2"/>
  <c r="BJ32" i="2"/>
  <c r="O30" i="2"/>
  <c r="AM32" i="2"/>
  <c r="D30" i="2"/>
  <c r="AB32" i="2"/>
  <c r="BF32" i="2"/>
  <c r="AJ29" i="2"/>
  <c r="AW30" i="2"/>
  <c r="AO29" i="2"/>
  <c r="F28" i="2"/>
  <c r="AD30" i="2"/>
  <c r="BB32" i="2"/>
  <c r="S30" i="2"/>
  <c r="AQ32" i="2"/>
  <c r="AU31" i="2"/>
  <c r="BI30" i="2"/>
  <c r="Q31" i="2"/>
  <c r="H30" i="2"/>
  <c r="AF32" i="2"/>
  <c r="BE29" i="2"/>
  <c r="U32" i="2"/>
  <c r="AK37" i="2"/>
  <c r="AX39" i="2"/>
  <c r="AA35" i="2"/>
  <c r="AY37" i="2"/>
  <c r="O40" i="2"/>
  <c r="AN35" i="2"/>
  <c r="D38" i="2"/>
  <c r="AB40" i="2"/>
  <c r="Q35" i="2"/>
  <c r="AJ36" i="2"/>
  <c r="AH35" i="2"/>
  <c r="AO34" i="2"/>
  <c r="F34" i="2"/>
  <c r="AP36" i="2"/>
  <c r="F40" i="2"/>
  <c r="BC36" i="2"/>
  <c r="S40" i="2"/>
  <c r="K34" i="2"/>
  <c r="AR35" i="2"/>
  <c r="T39" i="2"/>
  <c r="AS36" i="2"/>
  <c r="BE40" i="2"/>
  <c r="V34" i="2"/>
  <c r="AJ38" i="2"/>
  <c r="M38" i="2"/>
  <c r="O43" i="2"/>
  <c r="AQ45" i="2"/>
  <c r="H44" i="2"/>
  <c r="BB44" i="2"/>
  <c r="BE46" i="2"/>
  <c r="J46" i="2"/>
  <c r="K45" i="2"/>
  <c r="X44" i="2"/>
  <c r="BI43" i="2"/>
  <c r="N45" i="2"/>
  <c r="AY50" i="2"/>
  <c r="BI50" i="2"/>
  <c r="R51" i="2"/>
  <c r="BD49" i="2"/>
  <c r="M49" i="2"/>
  <c r="BA55" i="2"/>
  <c r="Y53" i="2"/>
  <c r="BE55" i="2"/>
  <c r="AW60" i="2"/>
  <c r="AZ62" i="2"/>
  <c r="AK59" i="2"/>
  <c r="BC62" i="2"/>
  <c r="AK57" i="2"/>
  <c r="AG62" i="2"/>
  <c r="K61" i="2"/>
  <c r="X59" i="2"/>
  <c r="AZ66" i="2"/>
  <c r="AM65" i="2"/>
  <c r="AS64" i="2"/>
  <c r="X65" i="2"/>
  <c r="C26" i="2"/>
  <c r="AT24" i="2"/>
  <c r="K24" i="2"/>
  <c r="AI26" i="2"/>
  <c r="K28" i="2"/>
  <c r="X29" i="2"/>
  <c r="M31" i="2"/>
  <c r="AX30" i="2"/>
  <c r="C28" i="2"/>
  <c r="AA30" i="2"/>
  <c r="AY32" i="2"/>
  <c r="P30" i="2"/>
  <c r="AN32" i="2"/>
  <c r="AI28" i="2"/>
  <c r="L30" i="2"/>
  <c r="Y31" i="2"/>
  <c r="E30" i="2"/>
  <c r="R28" i="2"/>
  <c r="AP30" i="2"/>
  <c r="G28" i="2"/>
  <c r="AE30" i="2"/>
  <c r="BC32" i="2"/>
  <c r="W32" i="2"/>
  <c r="AK31" i="2"/>
  <c r="E32" i="2"/>
  <c r="T30" i="2"/>
  <c r="AR32" i="2"/>
  <c r="I30" i="2"/>
  <c r="AG32" i="2"/>
  <c r="N34" i="2"/>
  <c r="BJ39" i="2"/>
  <c r="AM35" i="2"/>
  <c r="C38" i="2"/>
  <c r="AA40" i="2"/>
  <c r="AZ35" i="2"/>
  <c r="P38" i="2"/>
  <c r="AN40" i="2"/>
  <c r="AC36" i="2"/>
  <c r="AK34" i="2"/>
  <c r="AH37" i="2"/>
  <c r="AO35" i="2"/>
  <c r="R34" i="2"/>
  <c r="F37" i="2"/>
  <c r="R40" i="2"/>
  <c r="S37" i="2"/>
  <c r="AE40" i="2"/>
  <c r="K37" i="2"/>
  <c r="BD35" i="2"/>
  <c r="AF39" i="2"/>
  <c r="BE36" i="2"/>
  <c r="BF36" i="2"/>
  <c r="AU39" i="2"/>
  <c r="AV39" i="2"/>
  <c r="Y39" i="2"/>
  <c r="C45" i="2"/>
  <c r="BC45" i="2"/>
  <c r="AR44" i="2"/>
  <c r="AP45" i="2"/>
  <c r="AZ45" i="2"/>
  <c r="V46" i="2"/>
  <c r="W45" i="2"/>
  <c r="BH44" i="2"/>
  <c r="M44" i="2"/>
  <c r="Z45" i="2"/>
  <c r="C51" i="2"/>
  <c r="AW51" i="2"/>
  <c r="AD51" i="2"/>
  <c r="H50" i="2"/>
  <c r="AK51" i="2"/>
  <c r="AJ53" i="2"/>
  <c r="BI53" i="2"/>
  <c r="L53" i="2"/>
  <c r="AK62" i="2"/>
  <c r="BI58" i="2"/>
  <c r="BI61" i="2"/>
  <c r="Y58" i="2"/>
  <c r="AW59" i="2"/>
  <c r="AS62" i="2"/>
  <c r="W61" i="2"/>
  <c r="AJ59" i="2"/>
  <c r="AE64" i="2"/>
  <c r="O66" i="2"/>
  <c r="BE64" i="2"/>
  <c r="AJ65" i="2"/>
  <c r="AP35" i="2"/>
  <c r="F38" i="2"/>
  <c r="AD40" i="2"/>
  <c r="BC35" i="2"/>
  <c r="S38" i="2"/>
  <c r="AQ40" i="2"/>
  <c r="BA35" i="2"/>
  <c r="AW34" i="2"/>
  <c r="AR34" i="2"/>
  <c r="T37" i="2"/>
  <c r="AR39" i="2"/>
  <c r="I35" i="2"/>
  <c r="AG37" i="2"/>
  <c r="BE39" i="2"/>
  <c r="BF38" i="2"/>
  <c r="J36" i="2"/>
  <c r="AI35" i="2"/>
  <c r="AV38" i="2"/>
  <c r="J35" i="2"/>
  <c r="Y38" i="2"/>
  <c r="AW40" i="2"/>
  <c r="N37" i="2"/>
  <c r="AN43" i="2"/>
  <c r="AQ43" i="2"/>
  <c r="G46" i="2"/>
  <c r="AC42" i="2"/>
  <c r="H43" i="2"/>
  <c r="AF45" i="2"/>
  <c r="AN44" i="2"/>
  <c r="U42" i="2"/>
  <c r="AS44" i="2"/>
  <c r="O42" i="2"/>
  <c r="J42" i="2"/>
  <c r="AH44" i="2"/>
  <c r="BF46" i="2"/>
  <c r="K43" i="2"/>
  <c r="AI45" i="2"/>
  <c r="D44" i="2"/>
  <c r="X43" i="2"/>
  <c r="AV45" i="2"/>
  <c r="AB44" i="2"/>
  <c r="AV42" i="2"/>
  <c r="Y44" i="2"/>
  <c r="AW46" i="2"/>
  <c r="R42" i="2"/>
  <c r="N43" i="2"/>
  <c r="AL45" i="2"/>
  <c r="AJ48" i="2"/>
  <c r="N49" i="2"/>
  <c r="AY48" i="2"/>
  <c r="O51" i="2"/>
  <c r="AN49" i="2"/>
  <c r="AH48" i="2"/>
  <c r="AI49" i="2"/>
  <c r="N48" i="2"/>
  <c r="AC48" i="2"/>
  <c r="BA50" i="2"/>
  <c r="R49" i="2"/>
  <c r="AP51" i="2"/>
  <c r="J50" i="2"/>
  <c r="AU48" i="2"/>
  <c r="BC51" i="2"/>
  <c r="T50" i="2"/>
  <c r="AS48" i="2"/>
  <c r="I51" i="2"/>
  <c r="X51" i="2"/>
  <c r="J49" i="2"/>
  <c r="AK54" i="2"/>
  <c r="AM55" i="2"/>
  <c r="BA53" i="2"/>
  <c r="AJ54" i="2"/>
  <c r="O54" i="2"/>
  <c r="AN55" i="2"/>
  <c r="R55" i="2"/>
  <c r="AW54" i="2"/>
  <c r="BC54" i="2"/>
  <c r="AF54" i="2"/>
  <c r="BE53" i="2"/>
  <c r="BH54" i="2"/>
  <c r="V53" i="2"/>
  <c r="AT55" i="2"/>
  <c r="K55" i="2"/>
  <c r="BJ57" i="2"/>
  <c r="C62" i="2"/>
  <c r="AB58" i="2"/>
  <c r="AZ60" i="2"/>
  <c r="Y61" i="2"/>
  <c r="AC57" i="2"/>
  <c r="BB58" i="2"/>
  <c r="R61" i="2"/>
  <c r="AX57" i="2"/>
  <c r="E61" i="2"/>
  <c r="AE58" i="2"/>
  <c r="BC60" i="2"/>
  <c r="Y60" i="2"/>
  <c r="AO59" i="2"/>
  <c r="AR58" i="2"/>
  <c r="H61" i="2"/>
  <c r="M62" i="2"/>
  <c r="E60" i="2"/>
  <c r="I58" i="2"/>
  <c r="AG60" i="2"/>
  <c r="BE62" i="2"/>
  <c r="V57" i="2"/>
  <c r="J62" i="2"/>
  <c r="K59" i="2"/>
  <c r="AI61" i="2"/>
  <c r="N58" i="2"/>
  <c r="V59" i="2"/>
  <c r="X57" i="2"/>
  <c r="AV59" i="2"/>
  <c r="L62" i="2"/>
  <c r="Y66" i="2"/>
  <c r="AN64" i="2"/>
  <c r="Y64" i="2"/>
  <c r="AA65" i="2"/>
  <c r="AC65" i="2"/>
  <c r="AW65" i="2"/>
  <c r="AY66" i="2"/>
  <c r="F66" i="2"/>
  <c r="S66" i="2"/>
  <c r="AR65" i="2"/>
  <c r="I65" i="2"/>
  <c r="AH64" i="2"/>
  <c r="BF66" i="2"/>
  <c r="W66" i="2"/>
  <c r="AV65" i="2"/>
  <c r="R38" i="2"/>
  <c r="AP40" i="2"/>
  <c r="G36" i="2"/>
  <c r="AE38" i="2"/>
  <c r="BC40" i="2"/>
  <c r="BA36" i="2"/>
  <c r="AW36" i="2"/>
  <c r="BD34" i="2"/>
  <c r="AF37" i="2"/>
  <c r="BD39" i="2"/>
  <c r="U35" i="2"/>
  <c r="AS37" i="2"/>
  <c r="I40" i="2"/>
  <c r="J39" i="2"/>
  <c r="BG34" i="2"/>
  <c r="AI37" i="2"/>
  <c r="BH38" i="2"/>
  <c r="V36" i="2"/>
  <c r="AK38" i="2"/>
  <c r="BI40" i="2"/>
  <c r="AX37" i="2"/>
  <c r="D45" i="2"/>
  <c r="BC43" i="2"/>
  <c r="S46" i="2"/>
  <c r="AO43" i="2"/>
  <c r="T43" i="2"/>
  <c r="AR45" i="2"/>
  <c r="P46" i="2"/>
  <c r="AG42" i="2"/>
  <c r="BE44" i="2"/>
  <c r="O44" i="2"/>
  <c r="V42" i="2"/>
  <c r="AT44" i="2"/>
  <c r="AM43" i="2"/>
  <c r="W43" i="2"/>
  <c r="AU45" i="2"/>
  <c r="D46" i="2"/>
  <c r="AJ43" i="2"/>
  <c r="BH45" i="2"/>
  <c r="AN45" i="2"/>
  <c r="M42" i="2"/>
  <c r="AK44" i="2"/>
  <c r="BI46" i="2"/>
  <c r="R44" i="2"/>
  <c r="Z43" i="2"/>
  <c r="AX45" i="2"/>
  <c r="AJ49" i="2"/>
  <c r="AL49" i="2"/>
  <c r="C49" i="2"/>
  <c r="AA51" i="2"/>
  <c r="AZ49" i="2"/>
  <c r="V51" i="2"/>
  <c r="W51" i="2"/>
  <c r="AL48" i="2"/>
  <c r="AO48" i="2"/>
  <c r="E51" i="2"/>
  <c r="AD49" i="2"/>
  <c r="BB51" i="2"/>
  <c r="BF51" i="2"/>
  <c r="K51" i="2"/>
  <c r="H48" i="2"/>
  <c r="AF50" i="2"/>
  <c r="BE48" i="2"/>
  <c r="U51" i="2"/>
  <c r="AJ51" i="2"/>
  <c r="AH51" i="2"/>
  <c r="AK55" i="2"/>
  <c r="P53" i="2"/>
  <c r="E54" i="2"/>
  <c r="AV55" i="2"/>
  <c r="AM54" i="2"/>
  <c r="F53" i="2"/>
  <c r="AD55" i="2"/>
  <c r="Y55" i="2"/>
  <c r="S55" i="2"/>
  <c r="AR54" i="2"/>
  <c r="I54" i="2"/>
  <c r="M53" i="2"/>
  <c r="AH53" i="2"/>
  <c r="BF55" i="2"/>
  <c r="W55" i="2"/>
  <c r="AX59" i="2"/>
  <c r="O62" i="2"/>
  <c r="AN58" i="2"/>
  <c r="D61" i="2"/>
  <c r="AW58" i="2"/>
  <c r="Q58" i="2"/>
  <c r="F59" i="2"/>
  <c r="AD61" i="2"/>
  <c r="N59" i="2"/>
  <c r="BA61" i="2"/>
  <c r="AQ58" i="2"/>
  <c r="G61" i="2"/>
  <c r="AK61" i="2"/>
  <c r="AC60" i="2"/>
  <c r="BD58" i="2"/>
  <c r="T61" i="2"/>
  <c r="AL57" i="2"/>
  <c r="AO60" i="2"/>
  <c r="U58" i="2"/>
  <c r="AS60" i="2"/>
  <c r="M57" i="2"/>
  <c r="AT57" i="2"/>
  <c r="BF62" i="2"/>
  <c r="W59" i="2"/>
  <c r="AU61" i="2"/>
  <c r="Z59" i="2"/>
  <c r="AT59" i="2"/>
  <c r="AJ57" i="2"/>
  <c r="BH59" i="2"/>
  <c r="X62" i="2"/>
  <c r="BI66" i="2"/>
  <c r="D65" i="2"/>
  <c r="AW64" i="2"/>
  <c r="C66" i="2"/>
  <c r="AO65" i="2"/>
  <c r="AK66" i="2"/>
  <c r="AB64" i="2"/>
  <c r="R66" i="2"/>
  <c r="AE66" i="2"/>
  <c r="BD65" i="2"/>
  <c r="U65" i="2"/>
  <c r="AT64" i="2"/>
  <c r="K64" i="2"/>
  <c r="AI66" i="2"/>
  <c r="BH65" i="2"/>
  <c r="AD38" i="2"/>
  <c r="BB40" i="2"/>
  <c r="S36" i="2"/>
  <c r="AQ38" i="2"/>
  <c r="AH34" i="2"/>
  <c r="E38" i="2"/>
  <c r="AX34" i="2"/>
  <c r="T35" i="2"/>
  <c r="AR37" i="2"/>
  <c r="H40" i="2"/>
  <c r="AG35" i="2"/>
  <c r="BE37" i="2"/>
  <c r="U40" i="2"/>
  <c r="V39" i="2"/>
  <c r="AU36" i="2"/>
  <c r="K39" i="2"/>
  <c r="L39" i="2"/>
  <c r="W34" i="2"/>
  <c r="AW38" i="2"/>
  <c r="AT34" i="2"/>
  <c r="N38" i="2"/>
  <c r="AZ46" i="2"/>
  <c r="G44" i="2"/>
  <c r="AE46" i="2"/>
  <c r="E45" i="2"/>
  <c r="AF43" i="2"/>
  <c r="BD45" i="2"/>
  <c r="Q42" i="2"/>
  <c r="AS42" i="2"/>
  <c r="I45" i="2"/>
  <c r="C46" i="2"/>
  <c r="AH42" i="2"/>
  <c r="BF44" i="2"/>
  <c r="AM45" i="2"/>
  <c r="AI43" i="2"/>
  <c r="BG45" i="2"/>
  <c r="BA43" i="2"/>
  <c r="AV43" i="2"/>
  <c r="L46" i="2"/>
  <c r="E42" i="2"/>
  <c r="Y42" i="2"/>
  <c r="AW44" i="2"/>
  <c r="C43" i="2"/>
  <c r="R46" i="2"/>
  <c r="AL43" i="2"/>
  <c r="BJ45" i="2"/>
  <c r="AV50" i="2"/>
  <c r="BJ49" i="2"/>
  <c r="O49" i="2"/>
  <c r="AM51" i="2"/>
  <c r="D50" i="2"/>
  <c r="BG48" i="2"/>
  <c r="X48" i="2"/>
  <c r="BJ48" i="2"/>
  <c r="BA48" i="2"/>
  <c r="Q51" i="2"/>
  <c r="AP49" i="2"/>
  <c r="V49" i="2"/>
  <c r="W48" i="2"/>
  <c r="L48" i="2"/>
  <c r="T48" i="2"/>
  <c r="AR50" i="2"/>
  <c r="I49" i="2"/>
  <c r="AG51" i="2"/>
  <c r="AV51" i="2"/>
  <c r="W49" i="2"/>
  <c r="N53" i="2"/>
  <c r="AN53" i="2"/>
  <c r="Q54" i="2"/>
  <c r="AK53" i="2"/>
  <c r="C55" i="2"/>
  <c r="R53" i="2"/>
  <c r="AP55" i="2"/>
  <c r="AL53" i="2"/>
  <c r="AE55" i="2"/>
  <c r="BD54" i="2"/>
  <c r="U54" i="2"/>
  <c r="Y54" i="2"/>
  <c r="AT53" i="2"/>
  <c r="K53" i="2"/>
  <c r="AI55" i="2"/>
  <c r="Z61" i="2"/>
  <c r="AA62" i="2"/>
  <c r="AZ58" i="2"/>
  <c r="P61" i="2"/>
  <c r="BI59" i="2"/>
  <c r="E59" i="2"/>
  <c r="R59" i="2"/>
  <c r="AP61" i="2"/>
  <c r="AX60" i="2"/>
  <c r="BA62" i="2"/>
  <c r="BC58" i="2"/>
  <c r="S61" i="2"/>
  <c r="Z57" i="2"/>
  <c r="Q61" i="2"/>
  <c r="H59" i="2"/>
  <c r="AF61" i="2"/>
  <c r="BJ58" i="2"/>
  <c r="AC61" i="2"/>
  <c r="AG58" i="2"/>
  <c r="BE60" i="2"/>
  <c r="AK58" i="2"/>
  <c r="J58" i="2"/>
  <c r="K57" i="2"/>
  <c r="AI59" i="2"/>
  <c r="BG61" i="2"/>
  <c r="Z60" i="2"/>
  <c r="J60" i="2"/>
  <c r="AV57" i="2"/>
  <c r="L60" i="2"/>
  <c r="AJ62" i="2"/>
  <c r="AL64" i="2"/>
  <c r="P65" i="2"/>
  <c r="Y65" i="2"/>
  <c r="AM66" i="2"/>
  <c r="BA65" i="2"/>
  <c r="N64" i="2"/>
  <c r="F64" i="2"/>
  <c r="AD66" i="2"/>
  <c r="AQ66" i="2"/>
  <c r="H66" i="2"/>
  <c r="AG65" i="2"/>
  <c r="BF64" i="2"/>
  <c r="W64" i="2"/>
  <c r="AU66" i="2"/>
  <c r="L66" i="2"/>
  <c r="Q39" i="2"/>
  <c r="BJ35" i="2"/>
  <c r="AF35" i="2"/>
  <c r="BD37" i="2"/>
  <c r="T40" i="2"/>
  <c r="AS35" i="2"/>
  <c r="I38" i="2"/>
  <c r="AG40" i="2"/>
  <c r="AH39" i="2"/>
  <c r="AU37" i="2"/>
  <c r="BH34" i="2"/>
  <c r="X39" i="2"/>
  <c r="K36" i="2"/>
  <c r="BI38" i="2"/>
  <c r="V37" i="2"/>
  <c r="AX38" i="2"/>
  <c r="BA42" i="2"/>
  <c r="S44" i="2"/>
  <c r="AQ46" i="2"/>
  <c r="BA46" i="2"/>
  <c r="AR43" i="2"/>
  <c r="H46" i="2"/>
  <c r="AC43" i="2"/>
  <c r="BE42" i="2"/>
  <c r="U45" i="2"/>
  <c r="D43" i="2"/>
  <c r="AT42" i="2"/>
  <c r="J45" i="2"/>
  <c r="AB43" i="2"/>
  <c r="AU43" i="2"/>
  <c r="K46" i="2"/>
  <c r="AC46" i="2"/>
  <c r="BH43" i="2"/>
  <c r="X46" i="2"/>
  <c r="E44" i="2"/>
  <c r="AK42" i="2"/>
  <c r="BI44" i="2"/>
  <c r="AY44" i="2"/>
  <c r="BC42" i="2"/>
  <c r="AX43" i="2"/>
  <c r="N46" i="2"/>
  <c r="Y48" i="2"/>
  <c r="Z50" i="2"/>
  <c r="AA49" i="2"/>
  <c r="AY51" i="2"/>
  <c r="P50" i="2"/>
  <c r="AI50" i="2"/>
  <c r="AV49" i="2"/>
  <c r="Z49" i="2"/>
  <c r="E49" i="2"/>
  <c r="AC51" i="2"/>
  <c r="BB49" i="2"/>
  <c r="J51" i="2"/>
  <c r="K50" i="2"/>
  <c r="AE48" i="2"/>
  <c r="AF48" i="2"/>
  <c r="BD50" i="2"/>
  <c r="U49" i="2"/>
  <c r="AS51" i="2"/>
  <c r="BH51" i="2"/>
  <c r="AI51" i="2"/>
  <c r="N54" i="2"/>
  <c r="D54" i="2"/>
  <c r="AC54" i="2"/>
  <c r="M54" i="2"/>
  <c r="AA55" i="2"/>
  <c r="AD53" i="2"/>
  <c r="BB55" i="2"/>
  <c r="AL54" i="2"/>
  <c r="AQ55" i="2"/>
  <c r="H55" i="2"/>
  <c r="AG54" i="2"/>
  <c r="BI55" i="2"/>
  <c r="BF53" i="2"/>
  <c r="W53" i="2"/>
  <c r="AU55" i="2"/>
  <c r="AX62" i="2"/>
  <c r="AM62" i="2"/>
  <c r="D59" i="2"/>
  <c r="AB61" i="2"/>
  <c r="AW61" i="2"/>
  <c r="BA59" i="2"/>
  <c r="AD59" i="2"/>
  <c r="BB61" i="2"/>
  <c r="BJ62" i="2"/>
  <c r="AP57" i="2"/>
  <c r="G59" i="2"/>
  <c r="AE61" i="2"/>
  <c r="AX58" i="2"/>
  <c r="E62" i="2"/>
  <c r="T59" i="2"/>
  <c r="AR61" i="2"/>
  <c r="AL60" i="2"/>
  <c r="Q62" i="2"/>
  <c r="AS58" i="2"/>
  <c r="I61" i="2"/>
  <c r="M60" i="2"/>
  <c r="V58" i="2"/>
  <c r="W57" i="2"/>
  <c r="AU59" i="2"/>
  <c r="K62" i="2"/>
  <c r="AL61" i="2"/>
  <c r="AH60" i="2"/>
  <c r="BH57" i="2"/>
  <c r="X60" i="2"/>
  <c r="AV62" i="2"/>
  <c r="Z65" i="2"/>
  <c r="AB65" i="2"/>
  <c r="M66" i="2"/>
  <c r="P64" i="2"/>
  <c r="E66" i="2"/>
  <c r="AX64" i="2"/>
  <c r="R64" i="2"/>
  <c r="AP66" i="2"/>
  <c r="BC66" i="2"/>
  <c r="T66" i="2"/>
  <c r="AS65" i="2"/>
  <c r="J65" i="2"/>
  <c r="AI64" i="2"/>
  <c r="BG66" i="2"/>
  <c r="X66" i="2"/>
  <c r="BG37" i="2"/>
  <c r="AV35" i="2"/>
  <c r="AJ39" i="2"/>
  <c r="W38" i="2"/>
  <c r="M39" i="2"/>
  <c r="AU35" i="2"/>
  <c r="N39" i="2"/>
  <c r="AC44" i="2"/>
  <c r="AE44" i="2"/>
  <c r="BC46" i="2"/>
  <c r="R43" i="2"/>
  <c r="BD43" i="2"/>
  <c r="T46" i="2"/>
  <c r="Q44" i="2"/>
  <c r="I43" i="2"/>
  <c r="AG45" i="2"/>
  <c r="AZ44" i="2"/>
  <c r="BF42" i="2"/>
  <c r="V45" i="2"/>
  <c r="AB45" i="2"/>
  <c r="BG43" i="2"/>
  <c r="W46" i="2"/>
  <c r="AP42" i="2"/>
  <c r="L44" i="2"/>
  <c r="AJ46" i="2"/>
  <c r="Q46" i="2"/>
  <c r="AW42" i="2"/>
  <c r="M45" i="2"/>
  <c r="AA46" i="2"/>
  <c r="K42" i="2"/>
  <c r="BJ43" i="2"/>
  <c r="Z46" i="2"/>
  <c r="AW48" i="2"/>
  <c r="AX50" i="2"/>
  <c r="AM49" i="2"/>
  <c r="D48" i="2"/>
  <c r="AB50" i="2"/>
  <c r="X49" i="2"/>
  <c r="BH50" i="2"/>
  <c r="AX49" i="2"/>
  <c r="Q49" i="2"/>
  <c r="AO51" i="2"/>
  <c r="F50" i="2"/>
  <c r="BG49" i="2"/>
  <c r="BG51" i="2"/>
  <c r="G49" i="2"/>
  <c r="AR48" i="2"/>
  <c r="H51" i="2"/>
  <c r="AG49" i="2"/>
  <c r="BE51" i="2"/>
  <c r="AH49" i="2"/>
  <c r="BH48" i="2"/>
  <c r="BJ54" i="2"/>
  <c r="AB54" i="2"/>
  <c r="AO54" i="2"/>
  <c r="BI54" i="2"/>
  <c r="AY55" i="2"/>
  <c r="AP53" i="2"/>
  <c r="L54" i="2"/>
  <c r="N55" i="2"/>
  <c r="BC55" i="2"/>
  <c r="T55" i="2"/>
  <c r="AS54" i="2"/>
  <c r="Z54" i="2"/>
  <c r="J54" i="2"/>
  <c r="AI53" i="2"/>
  <c r="BG55" i="2"/>
  <c r="AA57" i="2"/>
  <c r="AY62" i="2"/>
  <c r="P59" i="2"/>
  <c r="AN61" i="2"/>
  <c r="N57" i="2"/>
  <c r="BA60" i="2"/>
  <c r="AP59" i="2"/>
  <c r="F62" i="2"/>
  <c r="O57" i="2"/>
  <c r="F58" i="2"/>
  <c r="S59" i="2"/>
  <c r="AQ61" i="2"/>
  <c r="N60" i="2"/>
  <c r="AO62" i="2"/>
  <c r="AF59" i="2"/>
  <c r="BD61" i="2"/>
  <c r="N62" i="2"/>
  <c r="F57" i="2"/>
  <c r="BE58" i="2"/>
  <c r="U61" i="2"/>
  <c r="M61" i="2"/>
  <c r="AT58" i="2"/>
  <c r="AI57" i="2"/>
  <c r="BG59" i="2"/>
  <c r="W62" i="2"/>
  <c r="BJ61" i="2"/>
  <c r="AT60" i="2"/>
  <c r="L58" i="2"/>
  <c r="AJ60" i="2"/>
  <c r="BH62" i="2"/>
  <c r="BJ65" i="2"/>
  <c r="AN65" i="2"/>
  <c r="AW66" i="2"/>
  <c r="AZ64" i="2"/>
  <c r="Q66" i="2"/>
  <c r="N65" i="2"/>
  <c r="AD64" i="2"/>
  <c r="BB66" i="2"/>
  <c r="H64" i="2"/>
  <c r="AF66" i="2"/>
  <c r="BE65" i="2"/>
  <c r="V65" i="2"/>
  <c r="AU64" i="2"/>
  <c r="L64" i="2"/>
  <c r="AJ66" i="2"/>
  <c r="AV46" i="2"/>
  <c r="AD43" i="2"/>
  <c r="BI42" i="2"/>
  <c r="Y45" i="2"/>
  <c r="AB42" i="2"/>
  <c r="AI42" i="2"/>
  <c r="N44" i="2"/>
  <c r="AL46" i="2"/>
  <c r="AK49" i="2"/>
  <c r="N51" i="2"/>
  <c r="AY49" i="2"/>
  <c r="P48" i="2"/>
  <c r="AN50" i="2"/>
  <c r="L51" i="2"/>
  <c r="M48" i="2"/>
  <c r="N50" i="2"/>
  <c r="AC49" i="2"/>
  <c r="BA51" i="2"/>
  <c r="R50" i="2"/>
  <c r="AU51" i="2"/>
  <c r="S48" i="2"/>
  <c r="AQ49" i="2"/>
  <c r="BD48" i="2"/>
  <c r="T51" i="2"/>
  <c r="AS49" i="2"/>
  <c r="BF48" i="2"/>
  <c r="AT50" i="2"/>
  <c r="L50" i="2"/>
  <c r="AX55" i="2"/>
  <c r="D55" i="2"/>
  <c r="BA54" i="2"/>
  <c r="M55" i="2"/>
  <c r="D53" i="2"/>
  <c r="BB53" i="2"/>
  <c r="X55" i="2"/>
  <c r="BJ55" i="2"/>
  <c r="H53" i="2"/>
  <c r="AF55" i="2"/>
  <c r="BE54" i="2"/>
  <c r="Z55" i="2"/>
  <c r="V54" i="2"/>
  <c r="AU53" i="2"/>
  <c r="BH53" i="2"/>
  <c r="AY58" i="2"/>
  <c r="D57" i="2"/>
  <c r="AB59" i="2"/>
  <c r="AZ61" i="2"/>
  <c r="Z58" i="2"/>
  <c r="AO61" i="2"/>
  <c r="BB59" i="2"/>
  <c r="R62" i="2"/>
  <c r="AA58" i="2"/>
  <c r="G57" i="2"/>
  <c r="AE59" i="2"/>
  <c r="BC61" i="2"/>
  <c r="AX61" i="2"/>
  <c r="R57" i="2"/>
  <c r="AR59" i="2"/>
  <c r="H62" i="2"/>
  <c r="C57" i="2"/>
  <c r="H57" i="2"/>
  <c r="I59" i="2"/>
  <c r="AG61" i="2"/>
  <c r="AW62" i="2"/>
  <c r="J59" i="2"/>
  <c r="AU57" i="2"/>
  <c r="K60" i="2"/>
  <c r="AI62" i="2"/>
  <c r="AM57" i="2"/>
  <c r="J61" i="2"/>
  <c r="X58" i="2"/>
  <c r="AV60" i="2"/>
  <c r="Y57" i="2"/>
  <c r="AL66" i="2"/>
  <c r="AZ65" i="2"/>
  <c r="Z64" i="2"/>
  <c r="E64" i="2"/>
  <c r="AC66" i="2"/>
  <c r="AX65" i="2"/>
  <c r="AP64" i="2"/>
  <c r="BC65" i="2"/>
  <c r="T64" i="2"/>
  <c r="AR66" i="2"/>
  <c r="I66" i="2"/>
  <c r="AH65" i="2"/>
  <c r="BG64" i="2"/>
  <c r="X64" i="2"/>
  <c r="AV66" i="2"/>
  <c r="BB36" i="2"/>
  <c r="R39" i="2"/>
  <c r="AQ34" i="2"/>
  <c r="G37" i="2"/>
  <c r="AE39" i="2"/>
  <c r="AV36" i="2"/>
  <c r="BF35" i="2"/>
  <c r="AO36" i="2"/>
  <c r="H36" i="2"/>
  <c r="AF38" i="2"/>
  <c r="BD40" i="2"/>
  <c r="U36" i="2"/>
  <c r="AS38" i="2"/>
  <c r="AT35" i="2"/>
  <c r="J40" i="2"/>
  <c r="K40" i="2"/>
  <c r="AJ37" i="2"/>
  <c r="BH39" i="2"/>
  <c r="L36" i="2"/>
  <c r="AK39" i="2"/>
  <c r="AJ34" i="2"/>
  <c r="N40" i="2"/>
  <c r="F42" i="2"/>
  <c r="BC44" i="2"/>
  <c r="AY43" i="2"/>
  <c r="F46" i="2"/>
  <c r="T44" i="2"/>
  <c r="AR46" i="2"/>
  <c r="E46" i="2"/>
  <c r="AG43" i="2"/>
  <c r="BE45" i="2"/>
  <c r="AO42" i="2"/>
  <c r="V43" i="2"/>
  <c r="AT45" i="2"/>
  <c r="AC45" i="2"/>
  <c r="W44" i="2"/>
  <c r="AU46" i="2"/>
  <c r="R45" i="2"/>
  <c r="AJ44" i="2"/>
  <c r="BH46" i="2"/>
  <c r="F45" i="2"/>
  <c r="M43" i="2"/>
  <c r="AK45" i="2"/>
  <c r="AZ43" i="2"/>
  <c r="AJ42" i="2"/>
  <c r="Z44" i="2"/>
  <c r="AX46" i="2"/>
  <c r="BI49" i="2"/>
  <c r="Z51" i="2"/>
  <c r="C50" i="2"/>
  <c r="AB48" i="2"/>
  <c r="AZ50" i="2"/>
  <c r="Y49" i="2"/>
  <c r="BI48" i="2"/>
  <c r="AL50" i="2"/>
  <c r="AO49" i="2"/>
  <c r="F48" i="2"/>
  <c r="AD50" i="2"/>
  <c r="G48" i="2"/>
  <c r="AQ48" i="2"/>
  <c r="S50" i="2"/>
  <c r="H49" i="2"/>
  <c r="AF51" i="2"/>
  <c r="BE49" i="2"/>
  <c r="BF50" i="2"/>
  <c r="AI48" i="2"/>
  <c r="AK48" i="2"/>
  <c r="O53" i="2"/>
  <c r="AB55" i="2"/>
  <c r="E55" i="2"/>
  <c r="Z53" i="2"/>
  <c r="AB53" i="2"/>
  <c r="F54" i="2"/>
  <c r="AW55" i="2"/>
  <c r="G53" i="2"/>
  <c r="T53" i="2"/>
  <c r="AR55" i="2"/>
  <c r="I55" i="2"/>
  <c r="C53" i="2"/>
  <c r="AH54" i="2"/>
  <c r="BG53" i="2"/>
  <c r="AJ55" i="2"/>
  <c r="C60" i="2"/>
  <c r="P57" i="2"/>
  <c r="AN59" i="2"/>
  <c r="D62" i="2"/>
  <c r="AL59" i="2"/>
  <c r="AC62" i="2"/>
  <c r="F60" i="2"/>
  <c r="AD62" i="2"/>
  <c r="AY59" i="2"/>
  <c r="S57" i="2"/>
  <c r="AQ59" i="2"/>
  <c r="G62" i="2"/>
  <c r="C58" i="2"/>
  <c r="T57" i="2"/>
  <c r="BD59" i="2"/>
  <c r="T62" i="2"/>
  <c r="AM58" i="2"/>
  <c r="AF57" i="2"/>
  <c r="U59" i="2"/>
  <c r="AS61" i="2"/>
  <c r="AL58" i="2"/>
  <c r="AH59" i="2"/>
  <c r="BG57" i="2"/>
  <c r="W60" i="2"/>
  <c r="AU62" i="2"/>
  <c r="C59" i="2"/>
  <c r="AH61" i="2"/>
  <c r="AJ58" i="2"/>
  <c r="BH60" i="2"/>
  <c r="AK60" i="2"/>
  <c r="C64" i="2"/>
  <c r="D66" i="2"/>
  <c r="BJ64" i="2"/>
  <c r="Q64" i="2"/>
  <c r="AO66" i="2"/>
  <c r="N66" i="2"/>
  <c r="BB64" i="2"/>
  <c r="AQ64" i="2"/>
  <c r="AF64" i="2"/>
  <c r="BD66" i="2"/>
  <c r="U66" i="2"/>
  <c r="AT65" i="2"/>
  <c r="K65" i="2"/>
  <c r="AJ64" i="2"/>
  <c r="BH66" i="2"/>
  <c r="AW39" i="2"/>
  <c r="BH35" i="2"/>
  <c r="BJ40" i="2"/>
  <c r="BB43" i="2"/>
  <c r="G45" i="2"/>
  <c r="O45" i="2"/>
  <c r="S42" i="2"/>
  <c r="AF44" i="2"/>
  <c r="BD46" i="2"/>
  <c r="AD42" i="2"/>
  <c r="AS43" i="2"/>
  <c r="I46" i="2"/>
  <c r="BA44" i="2"/>
  <c r="AH43" i="2"/>
  <c r="BF45" i="2"/>
  <c r="F43" i="2"/>
  <c r="AI44" i="2"/>
  <c r="BG46" i="2"/>
  <c r="BB46" i="2"/>
  <c r="AV44" i="2"/>
  <c r="C42" i="2"/>
  <c r="AP46" i="2"/>
  <c r="Y43" i="2"/>
  <c r="AW45" i="2"/>
  <c r="P45" i="2"/>
  <c r="N42" i="2"/>
  <c r="AL44" i="2"/>
  <c r="BJ46" i="2"/>
  <c r="AK50" i="2"/>
  <c r="AX51" i="2"/>
  <c r="O50" i="2"/>
  <c r="AN48" i="2"/>
  <c r="D51" i="2"/>
  <c r="AW50" i="2"/>
  <c r="AW49" i="2"/>
  <c r="BJ50" i="2"/>
  <c r="BA49" i="2"/>
  <c r="R48" i="2"/>
  <c r="AP50" i="2"/>
  <c r="BC48" i="2"/>
  <c r="S49" i="2"/>
  <c r="AE50" i="2"/>
  <c r="T49" i="2"/>
  <c r="AR51" i="2"/>
  <c r="I50" i="2"/>
  <c r="K49" i="2"/>
  <c r="AU50" i="2"/>
  <c r="Y51" i="2"/>
  <c r="AM53" i="2"/>
  <c r="AZ55" i="2"/>
  <c r="Q55" i="2"/>
  <c r="BJ53" i="2"/>
  <c r="AZ53" i="2"/>
  <c r="R54" i="2"/>
  <c r="X53" i="2"/>
  <c r="AE53" i="2"/>
  <c r="AF53" i="2"/>
  <c r="BD55" i="2"/>
  <c r="U55" i="2"/>
  <c r="S53" i="2"/>
  <c r="AT54" i="2"/>
  <c r="K54" i="2"/>
  <c r="AX53" i="2"/>
  <c r="O60" i="2"/>
  <c r="AB57" i="2"/>
  <c r="AZ59" i="2"/>
  <c r="P62" i="2"/>
  <c r="BJ60" i="2"/>
  <c r="AD57" i="2"/>
  <c r="R60" i="2"/>
  <c r="AP62" i="2"/>
  <c r="AA61" i="2"/>
  <c r="AE57" i="2"/>
  <c r="BC59" i="2"/>
  <c r="S62" i="2"/>
  <c r="AA59" i="2"/>
  <c r="AR57" i="2"/>
  <c r="H60" i="2"/>
  <c r="AF62" i="2"/>
  <c r="AY60" i="2"/>
  <c r="I57" i="2"/>
  <c r="AG59" i="2"/>
  <c r="BE61" i="2"/>
  <c r="BJ59" i="2"/>
  <c r="BF59" i="2"/>
  <c r="K58" i="2"/>
  <c r="AI60" i="2"/>
  <c r="BG62" i="2"/>
  <c r="J57" i="2"/>
  <c r="BF61" i="2"/>
  <c r="AV58" i="2"/>
  <c r="L61" i="2"/>
  <c r="BI62" i="2"/>
  <c r="AA64" i="2"/>
  <c r="P66" i="2"/>
  <c r="AL65" i="2"/>
  <c r="AC64" i="2"/>
  <c r="BA66" i="2"/>
  <c r="AX66" i="2"/>
  <c r="F65" i="2"/>
  <c r="G65" i="2"/>
  <c r="AR64" i="2"/>
  <c r="I64" i="2"/>
  <c r="AG66" i="2"/>
  <c r="BF65" i="2"/>
  <c r="W65" i="2"/>
  <c r="AV64" i="2"/>
  <c r="BI65" i="2"/>
  <c r="AA43" i="2"/>
  <c r="G42" i="2"/>
  <c r="AK43" i="2"/>
  <c r="BI45" i="2"/>
  <c r="AN46" i="2"/>
  <c r="Z42" i="2"/>
  <c r="AX44" i="2"/>
  <c r="AT49" i="2"/>
  <c r="M51" i="2"/>
  <c r="C48" i="2"/>
  <c r="AA50" i="2"/>
  <c r="AZ48" i="2"/>
  <c r="P51" i="2"/>
  <c r="V48" i="2"/>
  <c r="M50" i="2"/>
  <c r="AL51" i="2"/>
  <c r="E50" i="2"/>
  <c r="AD48" i="2"/>
  <c r="BB50" i="2"/>
  <c r="AE49" i="2"/>
  <c r="BC49" i="2"/>
  <c r="AQ50" i="2"/>
  <c r="AF49" i="2"/>
  <c r="BD51" i="2"/>
  <c r="U50" i="2"/>
  <c r="W50" i="2"/>
  <c r="L49" i="2"/>
  <c r="AV53" i="2"/>
  <c r="C54" i="2"/>
  <c r="E53" i="2"/>
  <c r="AC55" i="2"/>
  <c r="AX54" i="2"/>
  <c r="P54" i="2"/>
  <c r="AD54" i="2"/>
  <c r="X54" i="2"/>
  <c r="AQ53" i="2"/>
  <c r="AR53" i="2"/>
  <c r="I53" i="2"/>
  <c r="AG55" i="2"/>
  <c r="BC53" i="2"/>
  <c r="BF54" i="2"/>
  <c r="W54" i="2"/>
  <c r="AW57" i="2"/>
  <c r="AA60" i="2"/>
  <c r="AN57" i="2"/>
  <c r="D60" i="2"/>
  <c r="AB62" i="2"/>
  <c r="AL62" i="2"/>
  <c r="BB57" i="2"/>
  <c r="AD60" i="2"/>
  <c r="BB62" i="2"/>
  <c r="AO57" i="2"/>
  <c r="AQ57" i="2"/>
  <c r="G60" i="2"/>
  <c r="AE62" i="2"/>
  <c r="AM60" i="2"/>
  <c r="BD57" i="2"/>
  <c r="T60" i="2"/>
  <c r="AR62" i="2"/>
  <c r="E57" i="2"/>
  <c r="U57" i="2"/>
  <c r="AS59" i="2"/>
  <c r="I62" i="2"/>
  <c r="N61" i="2"/>
  <c r="V60" i="2"/>
  <c r="W58" i="2"/>
  <c r="AU60" i="2"/>
  <c r="M58" i="2"/>
  <c r="AH57" i="2"/>
  <c r="V62" i="2"/>
  <c r="BH58" i="2"/>
  <c r="X61" i="2"/>
  <c r="S64" i="2"/>
  <c r="C65" i="2"/>
  <c r="AB66" i="2"/>
  <c r="Z66" i="2"/>
  <c r="AO64" i="2"/>
  <c r="BC64" i="2"/>
  <c r="AM64" i="2"/>
  <c r="R65" i="2"/>
  <c r="S65" i="2"/>
  <c r="BD64" i="2"/>
  <c r="U64" i="2"/>
  <c r="AS66" i="2"/>
  <c r="J66" i="2"/>
  <c r="AI65" i="2"/>
  <c r="BH64" i="2"/>
  <c r="C47" i="2" l="1"/>
  <c r="C44" i="4" s="1"/>
  <c r="C27" i="2"/>
  <c r="C40" i="4" s="1"/>
  <c r="C52" i="2"/>
  <c r="C45" i="4" s="1"/>
  <c r="C17" i="2"/>
  <c r="C38" i="4" s="1"/>
  <c r="C33" i="2"/>
  <c r="C41" i="4" s="1"/>
  <c r="Q3" i="6"/>
  <c r="BA3" i="6"/>
  <c r="BF3" i="6"/>
  <c r="K3" i="6"/>
  <c r="AF3" i="6"/>
  <c r="C10" i="2"/>
  <c r="C37" i="4" s="1"/>
  <c r="Y3" i="6"/>
  <c r="C23" i="2"/>
  <c r="C39" i="4" s="1"/>
  <c r="C3" i="2"/>
  <c r="C36" i="4" s="1"/>
  <c r="C63" i="2"/>
  <c r="C46" i="4" s="1"/>
  <c r="C41" i="2"/>
  <c r="C42" i="4" s="1"/>
  <c r="C56" i="2"/>
  <c r="C43" i="4" s="1"/>
  <c r="BG3" i="6"/>
  <c r="U3" i="6"/>
  <c r="AG3" i="6"/>
  <c r="AQ3" i="6"/>
  <c r="P3" i="6"/>
  <c r="N3" i="6"/>
  <c r="AE3" i="6"/>
  <c r="BE3" i="6"/>
  <c r="D3" i="6"/>
  <c r="AI3" i="6"/>
  <c r="AZ3" i="6"/>
  <c r="AP3" i="6"/>
  <c r="AT3" i="6"/>
  <c r="BD3" i="6"/>
  <c r="X3" i="6"/>
  <c r="AM3" i="6"/>
  <c r="AV3" i="6"/>
  <c r="BC3" i="6"/>
  <c r="M3" i="6"/>
  <c r="AR3" i="6"/>
  <c r="E3" i="6"/>
  <c r="E12" i="6" s="1"/>
  <c r="F3" i="6"/>
  <c r="C3" i="6"/>
  <c r="AA3" i="6"/>
  <c r="R3" i="6"/>
  <c r="V3" i="6"/>
  <c r="AH3" i="6"/>
  <c r="L3" i="6"/>
  <c r="L12" i="6" s="1"/>
  <c r="AW3" i="6"/>
  <c r="AW12" i="6" s="1"/>
  <c r="G3" i="6"/>
  <c r="AJ3" i="6"/>
  <c r="AU3" i="6"/>
  <c r="H3" i="6"/>
  <c r="BH3" i="6"/>
  <c r="AL3" i="6"/>
  <c r="AN3" i="6"/>
  <c r="Z3" i="6"/>
  <c r="S3" i="6"/>
  <c r="AC3" i="6"/>
  <c r="T3" i="6"/>
  <c r="AO3" i="6"/>
  <c r="AX3" i="6"/>
  <c r="AD3" i="6"/>
  <c r="BB3" i="6"/>
  <c r="O3" i="6"/>
  <c r="W3" i="6"/>
  <c r="AB3" i="6"/>
  <c r="J3" i="6"/>
  <c r="BJ3" i="6"/>
  <c r="AS3" i="6"/>
  <c r="BI3" i="6"/>
  <c r="I3" i="6"/>
  <c r="AK3" i="6"/>
  <c r="AY3" i="6"/>
  <c r="BG70" i="2"/>
  <c r="AZ70" i="2"/>
  <c r="L70" i="2"/>
  <c r="BE70" i="2"/>
  <c r="AE70" i="2"/>
  <c r="AG70" i="2"/>
  <c r="BI70" i="2"/>
  <c r="AK70" i="2"/>
  <c r="H70" i="2"/>
  <c r="E70" i="2"/>
  <c r="W70" i="2"/>
  <c r="AL70" i="2"/>
  <c r="AB70" i="2"/>
  <c r="I70" i="2"/>
  <c r="AQ70" i="2"/>
  <c r="AD70" i="2"/>
  <c r="BA70" i="2"/>
  <c r="AM70" i="2"/>
  <c r="G70" i="2"/>
  <c r="AN70" i="2"/>
  <c r="AP70" i="2"/>
  <c r="AY70" i="2"/>
  <c r="F70" i="2"/>
  <c r="AR70" i="2"/>
  <c r="AH70" i="2"/>
  <c r="V70" i="2"/>
  <c r="O70" i="2"/>
  <c r="AO70" i="2"/>
  <c r="J70" i="2"/>
  <c r="BH70" i="2"/>
  <c r="Q70" i="2"/>
  <c r="BB70" i="2"/>
  <c r="R70" i="2"/>
  <c r="BF70" i="2"/>
  <c r="AS70" i="2"/>
  <c r="D70" i="2"/>
  <c r="T70" i="2"/>
  <c r="P70" i="2"/>
  <c r="AT70" i="2"/>
  <c r="K70" i="2"/>
  <c r="AI70" i="2"/>
  <c r="AU70" i="2"/>
  <c r="BD70" i="2"/>
  <c r="U70" i="2"/>
  <c r="AF70" i="2"/>
  <c r="X70" i="2"/>
  <c r="AJ70" i="2"/>
  <c r="AC70" i="2"/>
  <c r="AX70" i="2"/>
  <c r="N70" i="2"/>
  <c r="AA70" i="2"/>
  <c r="AW70" i="2"/>
  <c r="S70" i="2"/>
  <c r="AV70" i="2"/>
  <c r="Z70" i="2"/>
  <c r="BC70" i="2"/>
  <c r="BJ70" i="2"/>
  <c r="C70" i="2"/>
  <c r="DD70" i="2" s="1"/>
  <c r="M70" i="2"/>
  <c r="Y70" i="2"/>
  <c r="AY12" i="6" l="1"/>
  <c r="M71" i="2"/>
  <c r="M72" i="2" s="1"/>
  <c r="R12" i="6"/>
  <c r="AD71" i="2"/>
  <c r="AD72" i="2" s="1"/>
  <c r="E71" i="2"/>
  <c r="E72" i="2" s="1"/>
  <c r="G12" i="6"/>
  <c r="Z12" i="6"/>
  <c r="AB71" i="2"/>
  <c r="AB72" i="2" s="1"/>
  <c r="AR71" i="2"/>
  <c r="AR72" i="2" s="1"/>
  <c r="AK12" i="6"/>
  <c r="AZ71" i="2"/>
  <c r="AZ72" i="2" s="1"/>
  <c r="AO12" i="6"/>
  <c r="AG71" i="2"/>
  <c r="AG72" i="2" s="1"/>
  <c r="Y12" i="6"/>
  <c r="J71" i="2"/>
  <c r="J72" i="2" s="1"/>
  <c r="BA71" i="2"/>
  <c r="BA72" i="2" s="1"/>
  <c r="DT8" i="2"/>
  <c r="DS8" i="2" s="1"/>
  <c r="DT9" i="2"/>
  <c r="DS9" i="2" s="1"/>
  <c r="DT6" i="2"/>
  <c r="DS6" i="2" s="1"/>
  <c r="DT7" i="2"/>
  <c r="DS7" i="2" s="1"/>
  <c r="DT5" i="2"/>
  <c r="DS5" i="2" s="1"/>
  <c r="DT4" i="2"/>
  <c r="DS4" i="2" s="1"/>
  <c r="BB71" i="2"/>
  <c r="BB72" i="2" s="1"/>
  <c r="H71" i="2"/>
  <c r="H72" i="2" s="1"/>
  <c r="BG12" i="6"/>
  <c r="K12" i="6"/>
  <c r="AN12" i="6"/>
  <c r="AE71" i="2"/>
  <c r="AE72" i="2" s="1"/>
  <c r="W12" i="6"/>
  <c r="AH71" i="2"/>
  <c r="AH72" i="2" s="1"/>
  <c r="AD12" i="6"/>
  <c r="AV12" i="6"/>
  <c r="D12" i="6"/>
  <c r="D21" i="6" s="1"/>
  <c r="E21" i="6" s="1"/>
  <c r="AS12" i="6"/>
  <c r="BH12" i="6"/>
  <c r="AI12" i="6"/>
  <c r="N12" i="6"/>
  <c r="AX12" i="6"/>
  <c r="S12" i="6"/>
  <c r="V12" i="6"/>
  <c r="F12" i="6"/>
  <c r="BC12" i="6"/>
  <c r="AG12" i="6"/>
  <c r="AL71" i="2"/>
  <c r="AL72" i="2" s="1"/>
  <c r="O12" i="6"/>
  <c r="C48" i="4"/>
  <c r="C4" i="4" s="1"/>
  <c r="X71" i="2"/>
  <c r="X72" i="2" s="1"/>
  <c r="BB12" i="6"/>
  <c r="AB12" i="6"/>
  <c r="AH12" i="6"/>
  <c r="BA12" i="6"/>
  <c r="AQ12" i="6"/>
  <c r="BD12" i="6"/>
  <c r="U12" i="6"/>
  <c r="BJ12" i="6"/>
  <c r="BK12" i="6"/>
  <c r="H12" i="6"/>
  <c r="AT12" i="6"/>
  <c r="I12" i="6"/>
  <c r="J12" i="6"/>
  <c r="T12" i="6"/>
  <c r="AU12" i="6"/>
  <c r="AA12" i="6"/>
  <c r="AR12" i="6"/>
  <c r="AM12" i="6"/>
  <c r="AP12" i="6"/>
  <c r="BE12" i="6"/>
  <c r="P12" i="6"/>
  <c r="BF12" i="6"/>
  <c r="AQ71" i="2"/>
  <c r="AQ72" i="2" s="1"/>
  <c r="I71" i="2"/>
  <c r="I72" i="2" s="1"/>
  <c r="BI12" i="6"/>
  <c r="AC12" i="6"/>
  <c r="AL12" i="6"/>
  <c r="AJ12" i="6"/>
  <c r="M12" i="6"/>
  <c r="X12" i="6"/>
  <c r="AZ12" i="6"/>
  <c r="AE12" i="6"/>
  <c r="AF12" i="6"/>
  <c r="Q12" i="6"/>
  <c r="BE71" i="2"/>
  <c r="BE72" i="2" s="1"/>
  <c r="BF71" i="2"/>
  <c r="BF72" i="2" s="1"/>
  <c r="F71" i="2"/>
  <c r="F72" i="2" s="1"/>
  <c r="BI71" i="2"/>
  <c r="BI72" i="2" s="1"/>
  <c r="AM71" i="2"/>
  <c r="AM72" i="2" s="1"/>
  <c r="W71" i="2"/>
  <c r="W72" i="2" s="1"/>
  <c r="AN71" i="2"/>
  <c r="AN72" i="2" s="1"/>
  <c r="AP71" i="2"/>
  <c r="AP72" i="2" s="1"/>
  <c r="AY71" i="2"/>
  <c r="AY72" i="2" s="1"/>
  <c r="G71" i="2"/>
  <c r="G72" i="2" s="1"/>
  <c r="AS71" i="2"/>
  <c r="AS72" i="2" s="1"/>
  <c r="AI71" i="2"/>
  <c r="AI72" i="2" s="1"/>
  <c r="O71" i="2"/>
  <c r="O72" i="2" s="1"/>
  <c r="K71" i="2"/>
  <c r="K72" i="2" s="1"/>
  <c r="AO71" i="2"/>
  <c r="AO72" i="2" s="1"/>
  <c r="BH71" i="2"/>
  <c r="BH72" i="2" s="1"/>
  <c r="R71" i="2"/>
  <c r="R72" i="2" s="1"/>
  <c r="Q71" i="2"/>
  <c r="Q72" i="2" s="1"/>
  <c r="D71" i="2"/>
  <c r="S71" i="2"/>
  <c r="S72" i="2" s="1"/>
  <c r="BG71" i="2"/>
  <c r="BG72" i="2" s="1"/>
  <c r="AT71" i="2"/>
  <c r="AT72" i="2" s="1"/>
  <c r="U71" i="2"/>
  <c r="U72" i="2" s="1"/>
  <c r="P71" i="2"/>
  <c r="P72" i="2" s="1"/>
  <c r="AU71" i="2"/>
  <c r="AU72" i="2" s="1"/>
  <c r="L71" i="2"/>
  <c r="L72" i="2" s="1"/>
  <c r="AJ71" i="2"/>
  <c r="AJ72" i="2" s="1"/>
  <c r="V71" i="2"/>
  <c r="V72" i="2" s="1"/>
  <c r="AF71" i="2"/>
  <c r="AF72" i="2" s="1"/>
  <c r="BD71" i="2"/>
  <c r="BD72" i="2" s="1"/>
  <c r="Y71" i="2"/>
  <c r="Y72" i="2" s="1"/>
  <c r="AA71" i="2"/>
  <c r="AA72" i="2" s="1"/>
  <c r="AK71" i="2"/>
  <c r="AK72" i="2" s="1"/>
  <c r="AC71" i="2"/>
  <c r="AC72" i="2" s="1"/>
  <c r="AX71" i="2"/>
  <c r="AX72" i="2" s="1"/>
  <c r="AW71" i="2"/>
  <c r="AW72" i="2" s="1"/>
  <c r="T71" i="2"/>
  <c r="T72" i="2" s="1"/>
  <c r="AV71" i="2"/>
  <c r="AV72" i="2" s="1"/>
  <c r="BC71" i="2"/>
  <c r="BC72" i="2" s="1"/>
  <c r="BJ71" i="2"/>
  <c r="BJ72" i="2" s="1"/>
  <c r="BK71" i="2"/>
  <c r="BK72" i="2" s="1"/>
  <c r="N71" i="2"/>
  <c r="N72" i="2" s="1"/>
  <c r="Z71" i="2"/>
  <c r="Z72" i="2" s="1"/>
  <c r="D80" i="2" l="1"/>
  <c r="DF72" i="2"/>
  <c r="DG72" i="2" s="1"/>
  <c r="D72" i="2"/>
  <c r="DD72" i="2" s="1"/>
  <c r="DE72" i="2" s="1"/>
  <c r="C6" i="4"/>
  <c r="C13" i="4"/>
  <c r="C3" i="4"/>
  <c r="C9" i="4"/>
  <c r="E80" i="2"/>
  <c r="F80" i="2" s="1"/>
  <c r="G80" i="2" s="1"/>
  <c r="H80" i="2" s="1"/>
  <c r="I80" i="2" s="1"/>
  <c r="J80" i="2" s="1"/>
  <c r="K80" i="2" s="1"/>
  <c r="L80" i="2" s="1"/>
  <c r="M80" i="2" s="1"/>
  <c r="N80" i="2" s="1"/>
  <c r="O80" i="2" s="1"/>
  <c r="P80" i="2" s="1"/>
  <c r="Q80" i="2" s="1"/>
  <c r="R80" i="2" s="1"/>
  <c r="S80" i="2" s="1"/>
  <c r="T80" i="2" s="1"/>
  <c r="U80" i="2" s="1"/>
  <c r="V80" i="2" s="1"/>
  <c r="W80" i="2" s="1"/>
  <c r="X80" i="2" s="1"/>
  <c r="Y80" i="2" s="1"/>
  <c r="Z80" i="2" s="1"/>
  <c r="AA80" i="2" s="1"/>
  <c r="AB80" i="2" s="1"/>
  <c r="AC80" i="2" s="1"/>
  <c r="AD80" i="2" s="1"/>
  <c r="AE80" i="2" s="1"/>
  <c r="AF80" i="2" s="1"/>
  <c r="AG80" i="2" s="1"/>
  <c r="AH80" i="2" s="1"/>
  <c r="AI80" i="2" s="1"/>
  <c r="AJ80" i="2" s="1"/>
  <c r="AK80" i="2" s="1"/>
  <c r="AL80" i="2" s="1"/>
  <c r="AM80" i="2" s="1"/>
  <c r="AN80" i="2" s="1"/>
  <c r="AO80" i="2" s="1"/>
  <c r="AP80" i="2" s="1"/>
  <c r="AQ80" i="2" s="1"/>
  <c r="AR80" i="2" s="1"/>
  <c r="AS80" i="2" s="1"/>
  <c r="AT80" i="2" s="1"/>
  <c r="AU80" i="2" s="1"/>
  <c r="AV80" i="2" s="1"/>
  <c r="AW80" i="2" s="1"/>
  <c r="AX80" i="2" s="1"/>
  <c r="AY80" i="2" s="1"/>
  <c r="AZ80" i="2" s="1"/>
  <c r="BA80" i="2" s="1"/>
  <c r="BB80" i="2" s="1"/>
  <c r="BC80" i="2" s="1"/>
  <c r="BD80" i="2" s="1"/>
  <c r="BE80" i="2" s="1"/>
  <c r="BF80" i="2" s="1"/>
  <c r="BG80" i="2" s="1"/>
  <c r="BH80" i="2" s="1"/>
  <c r="BI80" i="2" s="1"/>
  <c r="BJ80" i="2" s="1"/>
  <c r="BK80" i="2" s="1"/>
  <c r="BL80" i="2" s="1"/>
  <c r="BM80" i="2" s="1"/>
  <c r="BN80" i="2" s="1"/>
  <c r="BO80" i="2" s="1"/>
  <c r="BP80" i="2" s="1"/>
  <c r="BQ80" i="2" s="1"/>
  <c r="BR80" i="2" s="1"/>
  <c r="BS80" i="2" s="1"/>
  <c r="BT80" i="2" s="1"/>
  <c r="BU80" i="2" s="1"/>
  <c r="BV80" i="2" s="1"/>
  <c r="BW80" i="2" s="1"/>
  <c r="BX80" i="2" s="1"/>
  <c r="BY80" i="2" s="1"/>
  <c r="BZ80" i="2" s="1"/>
  <c r="CA80" i="2" s="1"/>
  <c r="CB80" i="2" s="1"/>
  <c r="CC80" i="2" s="1"/>
  <c r="CD80" i="2" s="1"/>
  <c r="CE80" i="2" s="1"/>
  <c r="CF80" i="2" s="1"/>
  <c r="CG80" i="2" s="1"/>
  <c r="CH80" i="2" s="1"/>
  <c r="CI80" i="2" s="1"/>
  <c r="CJ80" i="2" s="1"/>
  <c r="CK80" i="2" s="1"/>
  <c r="CL80" i="2" s="1"/>
  <c r="CM80" i="2" s="1"/>
  <c r="CN80" i="2" s="1"/>
  <c r="CO80" i="2" s="1"/>
  <c r="CP80" i="2" s="1"/>
  <c r="CQ80" i="2" s="1"/>
  <c r="CR80" i="2" s="1"/>
  <c r="CS80" i="2" s="1"/>
  <c r="CT80" i="2" s="1"/>
  <c r="CU80" i="2" s="1"/>
  <c r="CV80" i="2" s="1"/>
  <c r="CW80" i="2" s="1"/>
  <c r="CX80" i="2" s="1"/>
  <c r="CY80" i="2" s="1"/>
  <c r="CZ80" i="2" s="1"/>
  <c r="DA80" i="2" s="1"/>
  <c r="DB80" i="2" s="1"/>
  <c r="C8" i="4"/>
  <c r="C5" i="4"/>
  <c r="F21" i="6"/>
  <c r="G21" i="6" s="1"/>
  <c r="H21" i="6" s="1"/>
  <c r="I21" i="6" s="1"/>
  <c r="J21" i="6" s="1"/>
  <c r="K21" i="6" s="1"/>
  <c r="L21" i="6" s="1"/>
  <c r="M21" i="6" s="1"/>
  <c r="N21" i="6" s="1"/>
  <c r="O21" i="6" s="1"/>
  <c r="P21" i="6" s="1"/>
  <c r="Q21" i="6" s="1"/>
  <c r="R21" i="6" s="1"/>
  <c r="S21" i="6" s="1"/>
  <c r="T21" i="6" s="1"/>
  <c r="U21" i="6" s="1"/>
  <c r="V21" i="6" s="1"/>
  <c r="W21" i="6" s="1"/>
  <c r="X21" i="6" s="1"/>
  <c r="Y21" i="6" s="1"/>
  <c r="Z21" i="6" s="1"/>
  <c r="AA21" i="6" s="1"/>
  <c r="AB21" i="6" s="1"/>
  <c r="AC21" i="6" s="1"/>
  <c r="AD21" i="6" s="1"/>
  <c r="AE21" i="6" s="1"/>
  <c r="AF21" i="6" s="1"/>
  <c r="AG21" i="6" s="1"/>
  <c r="AH21" i="6" s="1"/>
  <c r="AI21" i="6" s="1"/>
  <c r="AJ21" i="6" s="1"/>
  <c r="AK21" i="6" s="1"/>
  <c r="AL21" i="6" s="1"/>
  <c r="AM21" i="6" s="1"/>
  <c r="AN21" i="6" s="1"/>
  <c r="AO21" i="6" s="1"/>
  <c r="AP21" i="6" s="1"/>
  <c r="AQ21" i="6" s="1"/>
  <c r="AR21" i="6" s="1"/>
  <c r="AS21" i="6" s="1"/>
  <c r="AT21" i="6" s="1"/>
  <c r="AU21" i="6" s="1"/>
  <c r="AV21" i="6" s="1"/>
  <c r="AW21" i="6" s="1"/>
  <c r="AX21" i="6" s="1"/>
  <c r="AY21" i="6" s="1"/>
  <c r="AZ21" i="6" s="1"/>
  <c r="BA21" i="6" s="1"/>
  <c r="BB21" i="6" s="1"/>
  <c r="BC21" i="6" s="1"/>
  <c r="BD21" i="6" s="1"/>
  <c r="BE21" i="6" s="1"/>
  <c r="BF21" i="6" s="1"/>
  <c r="BG21" i="6" s="1"/>
  <c r="BH21" i="6" s="1"/>
  <c r="BI21" i="6" s="1"/>
  <c r="BJ21" i="6" s="1"/>
  <c r="BK21" i="6" s="1"/>
  <c r="BL21" i="6" s="1"/>
  <c r="BM21" i="6" s="1"/>
  <c r="BO21" i="6" s="1"/>
  <c r="C10" i="4"/>
  <c r="C11" i="4"/>
  <c r="C7" i="4"/>
  <c r="C12" i="4"/>
  <c r="DH72" i="2" l="1"/>
  <c r="DD80" i="2"/>
  <c r="K82" i="2"/>
</calcChain>
</file>

<file path=xl/sharedStrings.xml><?xml version="1.0" encoding="utf-8"?>
<sst xmlns="http://schemas.openxmlformats.org/spreadsheetml/2006/main" count="580" uniqueCount="225">
  <si>
    <t>COMMUNICATION SERVICES</t>
  </si>
  <si>
    <t>FB US EQUITY</t>
  </si>
  <si>
    <t>MTCH US EQUITY</t>
  </si>
  <si>
    <t>T US EQUITY</t>
  </si>
  <si>
    <t>GOOGL US EQUITY</t>
  </si>
  <si>
    <t>DIS US EQUITY</t>
  </si>
  <si>
    <t>ATVI US Equity</t>
  </si>
  <si>
    <t>CONSUMER DISCRETIONARY</t>
  </si>
  <si>
    <t>AMZN US EQUITY</t>
  </si>
  <si>
    <t>MCD US EQUITY</t>
  </si>
  <si>
    <t>NKE US EQUITY</t>
  </si>
  <si>
    <t>HD US EQUITY</t>
  </si>
  <si>
    <t>HLT US EQUITY</t>
  </si>
  <si>
    <t>SBUX US EQUITY</t>
  </si>
  <si>
    <t>CONSUMER STAPLES</t>
  </si>
  <si>
    <t>GIS US EQUITY</t>
  </si>
  <si>
    <t>STZ US EQUITY</t>
  </si>
  <si>
    <t>WMT US EQUITY</t>
  </si>
  <si>
    <t>CL US EQUITY</t>
  </si>
  <si>
    <t>BYND US EQUITY</t>
  </si>
  <si>
    <t>ENERGY</t>
  </si>
  <si>
    <t>RDS/A US Equity</t>
  </si>
  <si>
    <t>EOG US Equity</t>
  </si>
  <si>
    <t>COP US Equity</t>
  </si>
  <si>
    <t>FINANCIALS</t>
  </si>
  <si>
    <t>BLK US Equity</t>
  </si>
  <si>
    <t>GS US Equity</t>
  </si>
  <si>
    <t>MMC US Equity</t>
  </si>
  <si>
    <t>JPM US Equity</t>
  </si>
  <si>
    <t>SCHW US Equity</t>
  </si>
  <si>
    <t>HEALTH CARE</t>
  </si>
  <si>
    <t>ZBH US Equity</t>
  </si>
  <si>
    <t>PBH US Equity</t>
  </si>
  <si>
    <t>ZTS US Equity</t>
  </si>
  <si>
    <t>MEDP US Equity</t>
  </si>
  <si>
    <t>UNH US Equity</t>
  </si>
  <si>
    <t>ABT US Equity</t>
  </si>
  <si>
    <t>MRK US Equity</t>
  </si>
  <si>
    <t>INDUSTRIALS</t>
  </si>
  <si>
    <t>SIEGY US EQUITY</t>
  </si>
  <si>
    <t>DE US EQUITY</t>
  </si>
  <si>
    <t>SSD US EQUITY</t>
  </si>
  <si>
    <t>LMT US EQUITY</t>
  </si>
  <si>
    <t>NLSN US Equity</t>
  </si>
  <si>
    <t>MATERIALS</t>
  </si>
  <si>
    <t>GOLD US Equity</t>
  </si>
  <si>
    <t>IOSP US Equity</t>
  </si>
  <si>
    <t>MLM US Equity</t>
  </si>
  <si>
    <t>CCK US Equity</t>
  </si>
  <si>
    <t>REAL ESTATE</t>
  </si>
  <si>
    <t>APTS US Equity</t>
  </si>
  <si>
    <t>MPW US Equity</t>
  </si>
  <si>
    <t>CCI US Equity</t>
  </si>
  <si>
    <t>INFORMATION TECHNOLOGY</t>
  </si>
  <si>
    <t>AAPL US Equity</t>
  </si>
  <si>
    <t>MSFT US Equity</t>
  </si>
  <si>
    <t>V US Equity</t>
  </si>
  <si>
    <t>SAP US Equity</t>
  </si>
  <si>
    <t>PFPT US Equity</t>
  </si>
  <si>
    <t>G US Equity</t>
  </si>
  <si>
    <t>UTILITIES</t>
  </si>
  <si>
    <t>NEE US EQUITY</t>
  </si>
  <si>
    <t>NGG US EQUITY</t>
  </si>
  <si>
    <t>DUK US EQUITY</t>
  </si>
  <si>
    <t>CASH</t>
  </si>
  <si>
    <t>PORTFOLIO VALUE</t>
  </si>
  <si>
    <t>Daily Return</t>
  </si>
  <si>
    <t>S&amp;P 500</t>
  </si>
  <si>
    <t>SPX INDEX</t>
  </si>
  <si>
    <t>EMU EIF</t>
  </si>
  <si>
    <t>Consumer Staples</t>
  </si>
  <si>
    <t>Energy</t>
  </si>
  <si>
    <t>Financials</t>
  </si>
  <si>
    <t>Health Care</t>
  </si>
  <si>
    <t>Industrials</t>
  </si>
  <si>
    <t>Materials</t>
  </si>
  <si>
    <t>Real Estate</t>
  </si>
  <si>
    <t>Utilities</t>
  </si>
  <si>
    <t>Communication
Services</t>
  </si>
  <si>
    <t>Consumer
Discretionary</t>
  </si>
  <si>
    <t>Information
Technology</t>
  </si>
  <si>
    <t>S&amp;P500</t>
  </si>
  <si>
    <t>S5TELS INDEX</t>
  </si>
  <si>
    <t>Facebook</t>
  </si>
  <si>
    <t>FB US Equity</t>
  </si>
  <si>
    <t>Net Debt</t>
  </si>
  <si>
    <t>NET_DEBT</t>
  </si>
  <si>
    <t>Shares Out</t>
  </si>
  <si>
    <t>EQY_SH_OUT</t>
  </si>
  <si>
    <t>Implied fwd P/E value</t>
  </si>
  <si>
    <t>Implied fwd EV/EBITDA value</t>
  </si>
  <si>
    <t>Comp fwd P/E</t>
  </si>
  <si>
    <t>Comp fwd EV/EBITDA</t>
  </si>
  <si>
    <t>FY1 EBITDA</t>
  </si>
  <si>
    <t>FY1 EPS</t>
  </si>
  <si>
    <t>BEST_EPS_NXT_YR</t>
  </si>
  <si>
    <t>BEST_EBITDA</t>
  </si>
  <si>
    <t>AT&amp;T</t>
  </si>
  <si>
    <t>T US Equity</t>
  </si>
  <si>
    <t>Match Group</t>
  </si>
  <si>
    <t>MTCH US Equity</t>
  </si>
  <si>
    <t>Alphabet</t>
  </si>
  <si>
    <t>GOOGL US Equity</t>
  </si>
  <si>
    <t>Activision</t>
  </si>
  <si>
    <t>Disney</t>
  </si>
  <si>
    <t>DIS US Equity</t>
  </si>
  <si>
    <t>EMU EIF - 01/31/20</t>
  </si>
  <si>
    <t>Sector Values</t>
  </si>
  <si>
    <t>Communication Services</t>
  </si>
  <si>
    <t>Consumer Discretionary</t>
  </si>
  <si>
    <t>Sector</t>
  </si>
  <si>
    <t>Before</t>
  </si>
  <si>
    <t>After</t>
  </si>
  <si>
    <t>Information Technology</t>
  </si>
  <si>
    <t>Change</t>
  </si>
  <si>
    <t>Proposal A - More Bullish</t>
  </si>
  <si>
    <t>Proposal B - More Bearish</t>
  </si>
  <si>
    <t>Proceeds</t>
  </si>
  <si>
    <t>Sell AT&amp;T as of Jan 31</t>
  </si>
  <si>
    <t>GOOGL</t>
  </si>
  <si>
    <t>MTCH</t>
  </si>
  <si>
    <t>ATVI</t>
  </si>
  <si>
    <t>New Communications total value</t>
  </si>
  <si>
    <t>Old Communications total value</t>
  </si>
  <si>
    <t>cash remaining from T proceeds</t>
  </si>
  <si>
    <t>cash remaining from T proceeds and rebalance</t>
  </si>
  <si>
    <t>New Shares</t>
  </si>
  <si>
    <t>shares</t>
  </si>
  <si>
    <t>FB</t>
  </si>
  <si>
    <t>T</t>
  </si>
  <si>
    <t>DIS</t>
  </si>
  <si>
    <t>S&amp;P Comm. Svcs</t>
  </si>
  <si>
    <t>EMU EIF - 02/20/20</t>
  </si>
  <si>
    <t>Consumer
Staples</t>
  </si>
  <si>
    <t>3m T Bill</t>
  </si>
  <si>
    <t>null</t>
  </si>
  <si>
    <t>10yr T Bond</t>
  </si>
  <si>
    <t>Avg Returns</t>
  </si>
  <si>
    <t>Standard Dev</t>
  </si>
  <si>
    <t>Ann. Return</t>
  </si>
  <si>
    <t>Ann. Std Dev</t>
  </si>
  <si>
    <t>Sharpe Ratio</t>
  </si>
  <si>
    <t>Ticker symbols</t>
  </si>
  <si>
    <t>AMZN</t>
  </si>
  <si>
    <t>MCD</t>
  </si>
  <si>
    <t>NKE</t>
  </si>
  <si>
    <t>HD</t>
  </si>
  <si>
    <t>HLT</t>
  </si>
  <si>
    <t>SBUX</t>
  </si>
  <si>
    <t>GIS</t>
  </si>
  <si>
    <t>STZ</t>
  </si>
  <si>
    <t>WMT</t>
  </si>
  <si>
    <t>CL</t>
  </si>
  <si>
    <t>BYND</t>
  </si>
  <si>
    <t>RDS-A</t>
  </si>
  <si>
    <t>EOG</t>
  </si>
  <si>
    <t>COP</t>
  </si>
  <si>
    <t>BLK</t>
  </si>
  <si>
    <t>GS</t>
  </si>
  <si>
    <t>JPM</t>
  </si>
  <si>
    <t>SCHW</t>
  </si>
  <si>
    <t>ZBH</t>
  </si>
  <si>
    <t>PBH</t>
  </si>
  <si>
    <t>ZTS</t>
  </si>
  <si>
    <t>MEDP</t>
  </si>
  <si>
    <t>UNH</t>
  </si>
  <si>
    <t>ABT</t>
  </si>
  <si>
    <t>MRK</t>
  </si>
  <si>
    <t>SIEGY</t>
  </si>
  <si>
    <t>DE</t>
  </si>
  <si>
    <t>SSD</t>
  </si>
  <si>
    <t>LMT</t>
  </si>
  <si>
    <t>NLSN</t>
  </si>
  <si>
    <t>GOLD</t>
  </si>
  <si>
    <t>IOSP</t>
  </si>
  <si>
    <t>MLM</t>
  </si>
  <si>
    <t>CCK</t>
  </si>
  <si>
    <t>MPW</t>
  </si>
  <si>
    <t>CCI</t>
  </si>
  <si>
    <t>AAPL</t>
  </si>
  <si>
    <t>MSFT</t>
  </si>
  <si>
    <t>V</t>
  </si>
  <si>
    <t>SAP</t>
  </si>
  <si>
    <t>PFPT</t>
  </si>
  <si>
    <t>G</t>
  </si>
  <si>
    <t>NEE</t>
  </si>
  <si>
    <t>NGG</t>
  </si>
  <si>
    <t>DUK</t>
  </si>
  <si>
    <t>MMC</t>
  </si>
  <si>
    <t>APTS</t>
  </si>
  <si>
    <t>Main Page</t>
  </si>
  <si>
    <t xml:space="preserve">Functionality </t>
  </si>
  <si>
    <t>The purpose of this macro is to grab data from yahoo finance, sort the data and post the data to the prices page</t>
  </si>
  <si>
    <t>Additional Pages</t>
  </si>
  <si>
    <t>Upcoming Versions</t>
  </si>
  <si>
    <t>Ticker_Symbols - This is where the latest data points is sorted</t>
  </si>
  <si>
    <t>Quote_Sort - Quote_Sort allows the programme to match and sort the latest data points to the correct data row</t>
  </si>
  <si>
    <t>Misc - Misc is for the APTS and MMC data points which is received in a different format to the other quote symbols</t>
  </si>
  <si>
    <t>Misc_Data - This where the yahoo finance data for MMC and APTS is stored</t>
  </si>
  <si>
    <t>Version 2 will allow users to specify how many days prior to the current date</t>
  </si>
  <si>
    <t>Version 2 will hide any additional sheets to streamline process</t>
  </si>
  <si>
    <t>Raw_Historical_Data - This is where the all the yahoo finance data is initially stored</t>
  </si>
  <si>
    <t>Usage</t>
  </si>
  <si>
    <t>Click on Get Data until the done message is displayed, followed by post data util the done message is displayed</t>
  </si>
  <si>
    <r>
      <t xml:space="preserve">Once the data has been posted, </t>
    </r>
    <r>
      <rPr>
        <sz val="14"/>
        <color rgb="FFFF0000"/>
        <rFont val="Calibri (Body)"/>
      </rPr>
      <t>ALWAYS CLEAR DATA FOR PERFORMANCE EFFIENCY</t>
    </r>
  </si>
  <si>
    <r>
      <t xml:space="preserve">Refresh allows you to get the latest data on the same day, </t>
    </r>
    <r>
      <rPr>
        <sz val="14"/>
        <color rgb="FFFF0000"/>
        <rFont val="Calibri (Body)"/>
      </rPr>
      <t>CLEAR DATA FIRST BEFORE USE</t>
    </r>
  </si>
  <si>
    <t>RDS-A US Equity</t>
  </si>
  <si>
    <t>AMZN US Equity</t>
  </si>
  <si>
    <t>MCD US Equity</t>
  </si>
  <si>
    <t>NKE US Equity</t>
  </si>
  <si>
    <t>HD US Equity</t>
  </si>
  <si>
    <t>HLT US Equity</t>
  </si>
  <si>
    <t>SBUX US Equity</t>
  </si>
  <si>
    <t>GIS US Equity</t>
  </si>
  <si>
    <t>STZ US Equity</t>
  </si>
  <si>
    <t>WMT US Equity</t>
  </si>
  <si>
    <t>CL US Equity</t>
  </si>
  <si>
    <t>BYND US Equity</t>
  </si>
  <si>
    <t>SIEGY US Equity</t>
  </si>
  <si>
    <t>DE US Equity</t>
  </si>
  <si>
    <t>SSD US Equity</t>
  </si>
  <si>
    <t>LMT US Equity</t>
  </si>
  <si>
    <t>NEE US Equity</t>
  </si>
  <si>
    <t>NGG US Equity</t>
  </si>
  <si>
    <t>DUK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</si>
</sst>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&quot;$&quot;#,##0"/>
    <numFmt numFmtId="166" formatCode="0.0"/>
    <numFmt numFmtId="167" formatCode="0.000%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Helvetica Neue"/>
      <family val="2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 (Body)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Font="1"/>
    <xf numFmtId="0" fontId="1" fillId="2" borderId="0" xfId="0" applyFont="1" applyFill="1" applyBorder="1" applyAlignment="1">
      <alignment horizontal="left" vertical="top"/>
    </xf>
    <xf numFmtId="4" fontId="1" fillId="0" borderId="0" xfId="0" applyNumberFormat="1" applyFont="1"/>
    <xf numFmtId="2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9" fontId="0" fillId="0" borderId="0" xfId="0" applyNumberFormat="1"/>
    <xf numFmtId="2" fontId="1" fillId="0" borderId="0" xfId="0" applyNumberFormat="1" applyFont="1"/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" fontId="0" fillId="0" borderId="0" xfId="0" applyNumberFormat="1"/>
    <xf numFmtId="10" fontId="0" fillId="0" borderId="0" xfId="0" applyNumberFormat="1"/>
    <xf numFmtId="2" fontId="2" fillId="0" borderId="0" xfId="0" applyNumberFormat="1" applyFont="1"/>
    <xf numFmtId="10" fontId="2" fillId="0" borderId="0" xfId="0" applyNumberFormat="1" applyFont="1"/>
    <xf numFmtId="167" fontId="2" fillId="0" borderId="0" xfId="0" applyNumberFormat="1" applyFont="1"/>
    <xf numFmtId="0" fontId="4" fillId="0" borderId="0" xfId="0" applyFont="1" applyAlignment="1">
      <alignment vertical="center" wrapText="1"/>
    </xf>
    <xf numFmtId="0" fontId="5" fillId="0" borderId="0" xfId="0" applyFont="1"/>
    <xf numFmtId="0" fontId="6" fillId="0" borderId="0" xfId="0" applyFont="1"/>
    <xf numFmtId="0" fontId="6" fillId="0" borderId="0" xfId="0" applyFont="1" applyAlignment="1"/>
    <xf numFmtId="0" fontId="7" fillId="0" borderId="0" xfId="0" applyFont="1"/>
    <xf numFmtId="14" fontId="1" fillId="0" borderId="0" xfId="0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99FF66"/>
      <color rgb="FF009900"/>
      <color rgb="FF66FF66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1"/>
          <c:order val="1"/>
          <c:tx>
            <c:strRef>
              <c:f>Value!$B$80</c:f>
              <c:strCache>
                <c:ptCount val="1"/>
                <c:pt idx="0">
                  <c:v>EMU EIF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Value!$C$78:$DB$78</c:f>
              <c:numCache>
                <c:formatCode>m/d/yy</c:formatCode>
                <c:ptCount val="104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  <c:pt idx="63">
                  <c:v>43864</c:v>
                </c:pt>
                <c:pt idx="64">
                  <c:v>43865</c:v>
                </c:pt>
                <c:pt idx="65">
                  <c:v>43866</c:v>
                </c:pt>
                <c:pt idx="66">
                  <c:v>43867</c:v>
                </c:pt>
                <c:pt idx="67">
                  <c:v>43868</c:v>
                </c:pt>
                <c:pt idx="68">
                  <c:v>43871</c:v>
                </c:pt>
                <c:pt idx="69">
                  <c:v>43872</c:v>
                </c:pt>
                <c:pt idx="70">
                  <c:v>43873</c:v>
                </c:pt>
                <c:pt idx="71">
                  <c:v>43874</c:v>
                </c:pt>
                <c:pt idx="72">
                  <c:v>43875</c:v>
                </c:pt>
                <c:pt idx="73">
                  <c:v>43879</c:v>
                </c:pt>
                <c:pt idx="74">
                  <c:v>43880</c:v>
                </c:pt>
                <c:pt idx="75">
                  <c:v>43881</c:v>
                </c:pt>
                <c:pt idx="76">
                  <c:v>43882</c:v>
                </c:pt>
                <c:pt idx="77">
                  <c:v>43885</c:v>
                </c:pt>
                <c:pt idx="78">
                  <c:v>43886</c:v>
                </c:pt>
                <c:pt idx="79">
                  <c:v>43887</c:v>
                </c:pt>
                <c:pt idx="80">
                  <c:v>43888</c:v>
                </c:pt>
                <c:pt idx="81">
                  <c:v>43889</c:v>
                </c:pt>
                <c:pt idx="82">
                  <c:v>43892</c:v>
                </c:pt>
                <c:pt idx="83">
                  <c:v>43893</c:v>
                </c:pt>
                <c:pt idx="84">
                  <c:v>43894</c:v>
                </c:pt>
                <c:pt idx="85">
                  <c:v>43895</c:v>
                </c:pt>
                <c:pt idx="86">
                  <c:v>43896</c:v>
                </c:pt>
                <c:pt idx="87">
                  <c:v>43899</c:v>
                </c:pt>
                <c:pt idx="88">
                  <c:v>43900</c:v>
                </c:pt>
                <c:pt idx="89">
                  <c:v>43901</c:v>
                </c:pt>
                <c:pt idx="90">
                  <c:v>43902</c:v>
                </c:pt>
                <c:pt idx="91">
                  <c:v>43903</c:v>
                </c:pt>
                <c:pt idx="92">
                  <c:v>43906</c:v>
                </c:pt>
                <c:pt idx="93">
                  <c:v>43907</c:v>
                </c:pt>
                <c:pt idx="94">
                  <c:v>43908</c:v>
                </c:pt>
                <c:pt idx="95">
                  <c:v>43909</c:v>
                </c:pt>
                <c:pt idx="96">
                  <c:v>43910</c:v>
                </c:pt>
                <c:pt idx="97">
                  <c:v>43913</c:v>
                </c:pt>
                <c:pt idx="98">
                  <c:v>43914</c:v>
                </c:pt>
                <c:pt idx="99">
                  <c:v>43915</c:v>
                </c:pt>
                <c:pt idx="100">
                  <c:v>43916</c:v>
                </c:pt>
                <c:pt idx="101">
                  <c:v>43917</c:v>
                </c:pt>
                <c:pt idx="102">
                  <c:v>43920</c:v>
                </c:pt>
                <c:pt idx="103">
                  <c:v>43921</c:v>
                </c:pt>
              </c:numCache>
            </c:numRef>
          </c:cat>
          <c:val>
            <c:numRef>
              <c:f>Value!$C$80:$DB$80</c:f>
              <c:numCache>
                <c:formatCode>"$"#,##0</c:formatCode>
                <c:ptCount val="104"/>
                <c:pt idx="0">
                  <c:v>1000000</c:v>
                </c:pt>
                <c:pt idx="1">
                  <c:v>1004679.0799999998</c:v>
                </c:pt>
                <c:pt idx="2">
                  <c:v>1003258.1699999998</c:v>
                </c:pt>
                <c:pt idx="3">
                  <c:v>999657</c:v>
                </c:pt>
                <c:pt idx="4">
                  <c:v>1002979.2999999998</c:v>
                </c:pt>
                <c:pt idx="5">
                  <c:v>1004049.4599999997</c:v>
                </c:pt>
                <c:pt idx="6">
                  <c:v>1004449.7399999999</c:v>
                </c:pt>
                <c:pt idx="7">
                  <c:v>999941.18500000006</c:v>
                </c:pt>
                <c:pt idx="8">
                  <c:v>1001480.8699999998</c:v>
                </c:pt>
                <c:pt idx="9">
                  <c:v>1004795.3699999999</c:v>
                </c:pt>
                <c:pt idx="10">
                  <c:v>1006428.6599999997</c:v>
                </c:pt>
                <c:pt idx="11">
                  <c:v>1012562.3700000001</c:v>
                </c:pt>
                <c:pt idx="12">
                  <c:v>1013401.87</c:v>
                </c:pt>
                <c:pt idx="13">
                  <c:v>1013462.4399999992</c:v>
                </c:pt>
                <c:pt idx="14">
                  <c:v>1012827.5949999997</c:v>
                </c:pt>
                <c:pt idx="15">
                  <c:v>1011012.7199999995</c:v>
                </c:pt>
                <c:pt idx="16">
                  <c:v>1009506.11</c:v>
                </c:pt>
                <c:pt idx="17">
                  <c:v>1017189.3049999996</c:v>
                </c:pt>
                <c:pt idx="18">
                  <c:v>1023119.5</c:v>
                </c:pt>
                <c:pt idx="19">
                  <c:v>1026740.1299999995</c:v>
                </c:pt>
                <c:pt idx="20">
                  <c:v>1022871.3599999998</c:v>
                </c:pt>
                <c:pt idx="21">
                  <c:v>1015222.17</c:v>
                </c:pt>
                <c:pt idx="22">
                  <c:v>1011956.8299999996</c:v>
                </c:pt>
                <c:pt idx="23">
                  <c:v>1017961.1200000001</c:v>
                </c:pt>
                <c:pt idx="24">
                  <c:v>1020125.1799999999</c:v>
                </c:pt>
                <c:pt idx="25">
                  <c:v>1027320.6049999997</c:v>
                </c:pt>
                <c:pt idx="26">
                  <c:v>1024124.0599999999</c:v>
                </c:pt>
                <c:pt idx="27">
                  <c:v>1024075.0999999996</c:v>
                </c:pt>
                <c:pt idx="28">
                  <c:v>1025503.8899999998</c:v>
                </c:pt>
                <c:pt idx="29">
                  <c:v>1030155.7</c:v>
                </c:pt>
                <c:pt idx="30">
                  <c:v>1033888.8799999995</c:v>
                </c:pt>
                <c:pt idx="31">
                  <c:v>1041644.0599999996</c:v>
                </c:pt>
                <c:pt idx="32">
                  <c:v>1042102.6799999998</c:v>
                </c:pt>
                <c:pt idx="33">
                  <c:v>1043346.6499999994</c:v>
                </c:pt>
                <c:pt idx="34">
                  <c:v>1048172.7999999995</c:v>
                </c:pt>
                <c:pt idx="35">
                  <c:v>1052609.9899999998</c:v>
                </c:pt>
                <c:pt idx="36">
                  <c:v>1051918.1749999993</c:v>
                </c:pt>
                <c:pt idx="37">
                  <c:v>1052981.2299999993</c:v>
                </c:pt>
                <c:pt idx="38">
                  <c:v>1059098.7749999997</c:v>
                </c:pt>
                <c:pt idx="39">
                  <c:v>1060800.6149999995</c:v>
                </c:pt>
                <c:pt idx="40">
                  <c:v>1054994.9999999998</c:v>
                </c:pt>
                <c:pt idx="41">
                  <c:v>1058042.2899999991</c:v>
                </c:pt>
                <c:pt idx="42">
                  <c:v>1064280.1599999997</c:v>
                </c:pt>
                <c:pt idx="43">
                  <c:v>1059948.6399999997</c:v>
                </c:pt>
                <c:pt idx="44">
                  <c:v>1065094.2999999996</c:v>
                </c:pt>
                <c:pt idx="45">
                  <c:v>1061239.6549999993</c:v>
                </c:pt>
                <c:pt idx="46">
                  <c:v>1065160.2199999995</c:v>
                </c:pt>
                <c:pt idx="47">
                  <c:v>1072497.3099999991</c:v>
                </c:pt>
                <c:pt idx="48">
                  <c:v>1070502.149999999</c:v>
                </c:pt>
                <c:pt idx="49">
                  <c:v>1078256.3999999994</c:v>
                </c:pt>
                <c:pt idx="50">
                  <c:v>1078329.8199999991</c:v>
                </c:pt>
                <c:pt idx="51">
                  <c:v>1085347.4399999992</c:v>
                </c:pt>
                <c:pt idx="52">
                  <c:v>1094686.3999999994</c:v>
                </c:pt>
                <c:pt idx="53">
                  <c:v>1097812.0399999991</c:v>
                </c:pt>
                <c:pt idx="54">
                  <c:v>1101513.9299999988</c:v>
                </c:pt>
                <c:pt idx="55">
                  <c:v>1102113.5599999987</c:v>
                </c:pt>
                <c:pt idx="56">
                  <c:v>1101878.659999999</c:v>
                </c:pt>
                <c:pt idx="57">
                  <c:v>1093386.2699999993</c:v>
                </c:pt>
                <c:pt idx="58">
                  <c:v>1081578.3699999989</c:v>
                </c:pt>
                <c:pt idx="59">
                  <c:v>1088876.2199999993</c:v>
                </c:pt>
                <c:pt idx="60">
                  <c:v>1087232.2599999988</c:v>
                </c:pt>
                <c:pt idx="61">
                  <c:v>1089841.9499999993</c:v>
                </c:pt>
                <c:pt idx="62">
                  <c:v>1072063.179999999</c:v>
                </c:pt>
                <c:pt idx="63">
                  <c:v>1077678.1299999992</c:v>
                </c:pt>
                <c:pt idx="64">
                  <c:v>1090585.7199999988</c:v>
                </c:pt>
                <c:pt idx="65">
                  <c:v>1098478.2499999993</c:v>
                </c:pt>
                <c:pt idx="66">
                  <c:v>1101983.4199999992</c:v>
                </c:pt>
                <c:pt idx="67">
                  <c:v>1098678.1099999989</c:v>
                </c:pt>
                <c:pt idx="68">
                  <c:v>1105620.5099999993</c:v>
                </c:pt>
                <c:pt idx="69">
                  <c:v>1107747.4399999988</c:v>
                </c:pt>
                <c:pt idx="70">
                  <c:v>1113179.0799999994</c:v>
                </c:pt>
                <c:pt idx="71">
                  <c:v>1113985.2209999994</c:v>
                </c:pt>
                <c:pt idx="72">
                  <c:v>1118714.7399999991</c:v>
                </c:pt>
                <c:pt idx="73">
                  <c:v>1120338.8499999992</c:v>
                </c:pt>
                <c:pt idx="74">
                  <c:v>1123688.2699999986</c:v>
                </c:pt>
                <c:pt idx="75">
                  <c:v>1119751.4399999988</c:v>
                </c:pt>
                <c:pt idx="76">
                  <c:v>1107621.2097079989</c:v>
                </c:pt>
                <c:pt idx="77">
                  <c:v>1075728.0073849987</c:v>
                </c:pt>
                <c:pt idx="78">
                  <c:v>1044372.1009759987</c:v>
                </c:pt>
                <c:pt idx="79">
                  <c:v>1039409.1125919989</c:v>
                </c:pt>
                <c:pt idx="80">
                  <c:v>992937.2523189988</c:v>
                </c:pt>
                <c:pt idx="81">
                  <c:v>977968.97826299886</c:v>
                </c:pt>
                <c:pt idx="82">
                  <c:v>1024297.384527999</c:v>
                </c:pt>
                <c:pt idx="83">
                  <c:v>1002325.3537529989</c:v>
                </c:pt>
                <c:pt idx="84">
                  <c:v>1044470.0561079986</c:v>
                </c:pt>
                <c:pt idx="85">
                  <c:v>1015248.8312629987</c:v>
                </c:pt>
                <c:pt idx="86">
                  <c:v>1001626.8994319991</c:v>
                </c:pt>
                <c:pt idx="87">
                  <c:v>928663.57210599922</c:v>
                </c:pt>
                <c:pt idx="88">
                  <c:v>967709.89184299915</c:v>
                </c:pt>
                <c:pt idx="89">
                  <c:v>921131.18070399924</c:v>
                </c:pt>
                <c:pt idx="90">
                  <c:v>831155.04090599902</c:v>
                </c:pt>
                <c:pt idx="91">
                  <c:v>893042.12052799866</c:v>
                </c:pt>
                <c:pt idx="92">
                  <c:v>793945.20802199922</c:v>
                </c:pt>
                <c:pt idx="93">
                  <c:v>844893.59910799912</c:v>
                </c:pt>
                <c:pt idx="94">
                  <c:v>796963.05990899936</c:v>
                </c:pt>
                <c:pt idx="95">
                  <c:v>804242.65714799939</c:v>
                </c:pt>
                <c:pt idx="96">
                  <c:v>771909.36911899934</c:v>
                </c:pt>
                <c:pt idx="97">
                  <c:v>743598.04197099933</c:v>
                </c:pt>
                <c:pt idx="98">
                  <c:v>815746.44935899903</c:v>
                </c:pt>
                <c:pt idx="99">
                  <c:v>831357.93170999922</c:v>
                </c:pt>
                <c:pt idx="100">
                  <c:v>882461.37029699888</c:v>
                </c:pt>
                <c:pt idx="101">
                  <c:v>857304.16653899907</c:v>
                </c:pt>
                <c:pt idx="102">
                  <c:v>887104.95286399929</c:v>
                </c:pt>
                <c:pt idx="1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4-42E7-B077-4A90FA506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35136"/>
        <c:axId val="881632840"/>
      </c:areaChart>
      <c:lineChart>
        <c:grouping val="standard"/>
        <c:varyColors val="0"/>
        <c:ser>
          <c:idx val="0"/>
          <c:order val="0"/>
          <c:tx>
            <c:strRef>
              <c:f>Value!$B$79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dLbls>
            <c:dLbl>
              <c:idx val="102"/>
              <c:layout>
                <c:manualLayout>
                  <c:x val="-1.0027606971432892E-2"/>
                  <c:y val="-0.3341644135517303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Total Return</a:t>
                    </a:r>
                  </a:p>
                  <a:p>
                    <a:pPr algn="l">
                      <a:defRPr/>
                    </a:pPr>
                    <a:r>
                      <a:rPr lang="en-US"/>
                      <a:t>EMU EIF:</a:t>
                    </a:r>
                    <a:r>
                      <a:rPr lang="en-US" baseline="0"/>
                      <a:t> -12.41%</a:t>
                    </a:r>
                  </a:p>
                  <a:p>
                    <a:pPr algn="l">
                      <a:defRPr/>
                    </a:pPr>
                    <a:r>
                      <a:rPr lang="en-US" baseline="0"/>
                      <a:t>S&amp;P500: -14.91%</a:t>
                    </a:r>
                  </a:p>
                  <a:p>
                    <a:pPr algn="l">
                      <a:defRPr/>
                    </a:pPr>
                    <a:endParaRPr lang="en-US" baseline="0"/>
                  </a:p>
                  <a:p>
                    <a:pPr algn="l">
                      <a:defRPr/>
                    </a:pPr>
                    <a:r>
                      <a:rPr lang="en-US" baseline="0"/>
                      <a:t>Sharpe Ratio</a:t>
                    </a:r>
                  </a:p>
                  <a:p>
                    <a:pPr algn="l">
                      <a:defRPr/>
                    </a:pPr>
                    <a:r>
                      <a:rPr lang="en-US" sz="900" b="0" i="0" u="none" strike="noStrike" kern="1200" baseline="0">
                        <a:solidFill>
                          <a:sysClr val="windowText" lastClr="000000"/>
                        </a:solidFill>
                      </a:rPr>
                      <a:t>EMU EIF: -1.954% S&amp;P500: -2.010%</a:t>
                    </a:r>
                    <a:endParaRPr lang="en-US" baseline="0"/>
                  </a:p>
                  <a:p>
                    <a:pPr algn="l">
                      <a:defRPr/>
                    </a:pPr>
                    <a:endParaRPr lang="en-US" baseline="0"/>
                  </a:p>
                  <a:p>
                    <a:pPr algn="l">
                      <a:defRPr/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88801016238004"/>
                      <c:h val="0.31582706445065056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91AE-4C42-90F3-1896FC3DEC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Value!$C$78:$DB$78</c:f>
              <c:numCache>
                <c:formatCode>m/d/yy</c:formatCode>
                <c:ptCount val="104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  <c:pt idx="63">
                  <c:v>43864</c:v>
                </c:pt>
                <c:pt idx="64">
                  <c:v>43865</c:v>
                </c:pt>
                <c:pt idx="65">
                  <c:v>43866</c:v>
                </c:pt>
                <c:pt idx="66">
                  <c:v>43867</c:v>
                </c:pt>
                <c:pt idx="67">
                  <c:v>43868</c:v>
                </c:pt>
                <c:pt idx="68">
                  <c:v>43871</c:v>
                </c:pt>
                <c:pt idx="69">
                  <c:v>43872</c:v>
                </c:pt>
                <c:pt idx="70">
                  <c:v>43873</c:v>
                </c:pt>
                <c:pt idx="71">
                  <c:v>43874</c:v>
                </c:pt>
                <c:pt idx="72">
                  <c:v>43875</c:v>
                </c:pt>
                <c:pt idx="73">
                  <c:v>43879</c:v>
                </c:pt>
                <c:pt idx="74">
                  <c:v>43880</c:v>
                </c:pt>
                <c:pt idx="75">
                  <c:v>43881</c:v>
                </c:pt>
                <c:pt idx="76">
                  <c:v>43882</c:v>
                </c:pt>
                <c:pt idx="77">
                  <c:v>43885</c:v>
                </c:pt>
                <c:pt idx="78">
                  <c:v>43886</c:v>
                </c:pt>
                <c:pt idx="79">
                  <c:v>43887</c:v>
                </c:pt>
                <c:pt idx="80">
                  <c:v>43888</c:v>
                </c:pt>
                <c:pt idx="81">
                  <c:v>43889</c:v>
                </c:pt>
                <c:pt idx="82">
                  <c:v>43892</c:v>
                </c:pt>
                <c:pt idx="83">
                  <c:v>43893</c:v>
                </c:pt>
                <c:pt idx="84">
                  <c:v>43894</c:v>
                </c:pt>
                <c:pt idx="85">
                  <c:v>43895</c:v>
                </c:pt>
                <c:pt idx="86">
                  <c:v>43896</c:v>
                </c:pt>
                <c:pt idx="87">
                  <c:v>43899</c:v>
                </c:pt>
                <c:pt idx="88">
                  <c:v>43900</c:v>
                </c:pt>
                <c:pt idx="89">
                  <c:v>43901</c:v>
                </c:pt>
                <c:pt idx="90">
                  <c:v>43902</c:v>
                </c:pt>
                <c:pt idx="91">
                  <c:v>43903</c:v>
                </c:pt>
                <c:pt idx="92">
                  <c:v>43906</c:v>
                </c:pt>
                <c:pt idx="93">
                  <c:v>43907</c:v>
                </c:pt>
                <c:pt idx="94">
                  <c:v>43908</c:v>
                </c:pt>
                <c:pt idx="95">
                  <c:v>43909</c:v>
                </c:pt>
                <c:pt idx="96">
                  <c:v>43910</c:v>
                </c:pt>
                <c:pt idx="97">
                  <c:v>43913</c:v>
                </c:pt>
                <c:pt idx="98">
                  <c:v>43914</c:v>
                </c:pt>
                <c:pt idx="99">
                  <c:v>43915</c:v>
                </c:pt>
                <c:pt idx="100">
                  <c:v>43916</c:v>
                </c:pt>
                <c:pt idx="101">
                  <c:v>43917</c:v>
                </c:pt>
                <c:pt idx="102">
                  <c:v>43920</c:v>
                </c:pt>
                <c:pt idx="103">
                  <c:v>43921</c:v>
                </c:pt>
              </c:numCache>
            </c:numRef>
          </c:cat>
          <c:val>
            <c:numRef>
              <c:f>Value!$C$79:$DB$79</c:f>
              <c:numCache>
                <c:formatCode>"$"#,##0</c:formatCode>
                <c:ptCount val="104"/>
                <c:pt idx="0">
                  <c:v>1000000</c:v>
                </c:pt>
                <c:pt idx="1">
                  <c:v>1009662.3605788857</c:v>
                </c:pt>
                <c:pt idx="2">
                  <c:v>1013402.2044009006</c:v>
                </c:pt>
                <c:pt idx="3">
                  <c:v>1012200.5820461159</c:v>
                </c:pt>
                <c:pt idx="4">
                  <c:v>1012911.6791108652</c:v>
                </c:pt>
                <c:pt idx="5">
                  <c:v>1015677.0565848902</c:v>
                </c:pt>
                <c:pt idx="6">
                  <c:v>1018277.8282568902</c:v>
                </c:pt>
                <c:pt idx="7">
                  <c:v>1016279.513820303</c:v>
                </c:pt>
                <c:pt idx="8">
                  <c:v>1017869.6058678674</c:v>
                </c:pt>
                <c:pt idx="9">
                  <c:v>1018593.8713967786</c:v>
                </c:pt>
                <c:pt idx="10">
                  <c:v>1019446.5294512697</c:v>
                </c:pt>
                <c:pt idx="11">
                  <c:v>1027291.641975796</c:v>
                </c:pt>
                <c:pt idx="12">
                  <c:v>1027808.5041941556</c:v>
                </c:pt>
                <c:pt idx="13">
                  <c:v>1027199.4627266618</c:v>
                </c:pt>
                <c:pt idx="14">
                  <c:v>1023341.1027271886</c:v>
                </c:pt>
                <c:pt idx="15">
                  <c:v>1021721.3816352596</c:v>
                </c:pt>
                <c:pt idx="16">
                  <c:v>1023943.5599626013</c:v>
                </c:pt>
                <c:pt idx="17">
                  <c:v>1031630.6509171833</c:v>
                </c:pt>
                <c:pt idx="18">
                  <c:v>1033895.6267530515</c:v>
                </c:pt>
                <c:pt idx="19">
                  <c:v>1038211.5908821552</c:v>
                </c:pt>
                <c:pt idx="20">
                  <c:v>1034047.0640909148</c:v>
                </c:pt>
                <c:pt idx="21">
                  <c:v>1025122.1375051024</c:v>
                </c:pt>
                <c:pt idx="22">
                  <c:v>1018317.3336493762</c:v>
                </c:pt>
                <c:pt idx="23">
                  <c:v>1024756.7126246064</c:v>
                </c:pt>
                <c:pt idx="24">
                  <c:v>1026294.1308155226</c:v>
                </c:pt>
                <c:pt idx="25">
                  <c:v>1035670.0772988844</c:v>
                </c:pt>
                <c:pt idx="26">
                  <c:v>1032394.4218385807</c:v>
                </c:pt>
                <c:pt idx="27">
                  <c:v>1031261.9339206466</c:v>
                </c:pt>
                <c:pt idx="28">
                  <c:v>1034261.0516335478</c:v>
                </c:pt>
                <c:pt idx="29">
                  <c:v>1043130.0122466716</c:v>
                </c:pt>
                <c:pt idx="30">
                  <c:v>1043205.7309156032</c:v>
                </c:pt>
                <c:pt idx="31">
                  <c:v>1050662.3737473495</c:v>
                </c:pt>
                <c:pt idx="32">
                  <c:v>1051014.6301636838</c:v>
                </c:pt>
                <c:pt idx="33">
                  <c:v>1050560.318150094</c:v>
                </c:pt>
                <c:pt idx="34">
                  <c:v>1055244.9992757342</c:v>
                </c:pt>
                <c:pt idx="35">
                  <c:v>1060463.0031999364</c:v>
                </c:pt>
                <c:pt idx="36">
                  <c:v>1061381.5035752377</c:v>
                </c:pt>
                <c:pt idx="37">
                  <c:v>1061174.1002646857</c:v>
                </c:pt>
                <c:pt idx="38">
                  <c:v>1066615.9680796424</c:v>
                </c:pt>
                <c:pt idx="39">
                  <c:v>1066652.181356088</c:v>
                </c:pt>
                <c:pt idx="40">
                  <c:v>1060486.0480122198</c:v>
                </c:pt>
                <c:pt idx="41">
                  <c:v>1063610.2661346602</c:v>
                </c:pt>
                <c:pt idx="42">
                  <c:v>1072522.0242563104</c:v>
                </c:pt>
                <c:pt idx="43">
                  <c:v>1064950.1573631461</c:v>
                </c:pt>
                <c:pt idx="44">
                  <c:v>1068713.0459974448</c:v>
                </c:pt>
                <c:pt idx="45">
                  <c:v>1065717.2204005839</c:v>
                </c:pt>
                <c:pt idx="46">
                  <c:v>1070941.8085568675</c:v>
                </c:pt>
                <c:pt idx="47">
                  <c:v>1078069.2397845634</c:v>
                </c:pt>
                <c:pt idx="48">
                  <c:v>1074991.1112866902</c:v>
                </c:pt>
                <c:pt idx="49">
                  <c:v>1082490.5516269633</c:v>
                </c:pt>
                <c:pt idx="50">
                  <c:v>1080851.0778387913</c:v>
                </c:pt>
                <c:pt idx="51">
                  <c:v>1082872.4370876623</c:v>
                </c:pt>
                <c:pt idx="52">
                  <c:v>1091932.3404311354</c:v>
                </c:pt>
                <c:pt idx="53">
                  <c:v>1096149.5410790239</c:v>
                </c:pt>
                <c:pt idx="54">
                  <c:v>1093242.6026152568</c:v>
                </c:pt>
                <c:pt idx="55">
                  <c:v>1093558.6457551452</c:v>
                </c:pt>
                <c:pt idx="56">
                  <c:v>1094806.3577344972</c:v>
                </c:pt>
                <c:pt idx="57">
                  <c:v>1084906.964800695</c:v>
                </c:pt>
                <c:pt idx="58">
                  <c:v>1067840.6352467109</c:v>
                </c:pt>
                <c:pt idx="59">
                  <c:v>1078576.2256548016</c:v>
                </c:pt>
                <c:pt idx="60">
                  <c:v>1077641.264699298</c:v>
                </c:pt>
                <c:pt idx="61">
                  <c:v>1081018.9757568573</c:v>
                </c:pt>
                <c:pt idx="62">
                  <c:v>1061878.6130973543</c:v>
                </c:pt>
                <c:pt idx="63">
                  <c:v>1069582.164632139</c:v>
                </c:pt>
                <c:pt idx="64">
                  <c:v>1085604.8934012826</c:v>
                </c:pt>
                <c:pt idx="65">
                  <c:v>1097818.6439115605</c:v>
                </c:pt>
                <c:pt idx="66">
                  <c:v>1101469.600600482</c:v>
                </c:pt>
                <c:pt idx="67">
                  <c:v>1095520.7469152871</c:v>
                </c:pt>
                <c:pt idx="68">
                  <c:v>1103546.9258220412</c:v>
                </c:pt>
                <c:pt idx="69">
                  <c:v>1105410.2635009675</c:v>
                </c:pt>
                <c:pt idx="70">
                  <c:v>1112554.1553088659</c:v>
                </c:pt>
                <c:pt idx="71">
                  <c:v>1110740.1993705472</c:v>
                </c:pt>
                <c:pt idx="72">
                  <c:v>1112787.895547742</c:v>
                </c:pt>
                <c:pt idx="73">
                  <c:v>1109538.5770157625</c:v>
                </c:pt>
                <c:pt idx="74">
                  <c:v>1114759.8730560055</c:v>
                </c:pt>
                <c:pt idx="75">
                  <c:v>1110506.4591316716</c:v>
                </c:pt>
                <c:pt idx="76">
                  <c:v>1098826.0314199557</c:v>
                </c:pt>
                <c:pt idx="77">
                  <c:v>1062000.3861652117</c:v>
                </c:pt>
                <c:pt idx="78">
                  <c:v>1029843.0190679362</c:v>
                </c:pt>
                <c:pt idx="79">
                  <c:v>1025951.7155216688</c:v>
                </c:pt>
                <c:pt idx="80">
                  <c:v>980642.36097393965</c:v>
                </c:pt>
                <c:pt idx="81">
                  <c:v>972563.49537128489</c:v>
                </c:pt>
                <c:pt idx="82">
                  <c:v>1017339.5686011141</c:v>
                </c:pt>
                <c:pt idx="83">
                  <c:v>988744.29377526697</c:v>
                </c:pt>
                <c:pt idx="84">
                  <c:v>1030471.864588683</c:v>
                </c:pt>
                <c:pt idx="85">
                  <c:v>995516.11852934596</c:v>
                </c:pt>
                <c:pt idx="86">
                  <c:v>978538.73404969776</c:v>
                </c:pt>
                <c:pt idx="87">
                  <c:v>904199.44264475431</c:v>
                </c:pt>
                <c:pt idx="88">
                  <c:v>948863.55495858518</c:v>
                </c:pt>
                <c:pt idx="89">
                  <c:v>902494.06859452976</c:v>
                </c:pt>
                <c:pt idx="90">
                  <c:v>816655.43824648729</c:v>
                </c:pt>
                <c:pt idx="91">
                  <c:v>892499.24939754268</c:v>
                </c:pt>
                <c:pt idx="92">
                  <c:v>785541.64625554718</c:v>
                </c:pt>
                <c:pt idx="93">
                  <c:v>832638.67742530187</c:v>
                </c:pt>
                <c:pt idx="94">
                  <c:v>789482.37993652793</c:v>
                </c:pt>
                <c:pt idx="95">
                  <c:v>793199.1114578807</c:v>
                </c:pt>
                <c:pt idx="96">
                  <c:v>758806.38472984906</c:v>
                </c:pt>
                <c:pt idx="97">
                  <c:v>736578.0106401192</c:v>
                </c:pt>
                <c:pt idx="98">
                  <c:v>805689.46061970806</c:v>
                </c:pt>
                <c:pt idx="99">
                  <c:v>814983.09794703661</c:v>
                </c:pt>
                <c:pt idx="100">
                  <c:v>865849.58585180226</c:v>
                </c:pt>
                <c:pt idx="101">
                  <c:v>836681.4057993918</c:v>
                </c:pt>
                <c:pt idx="102">
                  <c:v>864723.62751682301</c:v>
                </c:pt>
                <c:pt idx="103">
                  <c:v>850877.0197131912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4-42E7-B077-4A90FA506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635136"/>
        <c:axId val="881632840"/>
      </c:lineChart>
      <c:dateAx>
        <c:axId val="881635136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632840"/>
        <c:crosses val="autoZero"/>
        <c:auto val="1"/>
        <c:lblOffset val="100"/>
        <c:baseTimeUnit val="days"/>
        <c:majorUnit val="7"/>
        <c:majorTimeUnit val="days"/>
      </c:dateAx>
      <c:valAx>
        <c:axId val="881632840"/>
        <c:scaling>
          <c:orientation val="minMax"/>
          <c:max val="1125000"/>
          <c:min val="73000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635136"/>
        <c:crosses val="autoZero"/>
        <c:crossBetween val="between"/>
        <c:majorUnit val="50000"/>
        <c:minorUnit val="5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57067450044434"/>
          <c:y val="5.9644520925557623E-2"/>
          <c:w val="0.27292423289983531"/>
          <c:h val="5.71069834640384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Weight!$D$2</c:f>
              <c:strCache>
                <c:ptCount val="1"/>
                <c:pt idx="0">
                  <c:v>EMU EIF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4.5506257110352671E-3"/>
                  <c:y val="-1.1837366616657815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1B-4157-ADF4-594F92B3002E}"/>
                </c:ext>
              </c:extLst>
            </c:dLbl>
            <c:dLbl>
              <c:idx val="5"/>
              <c:layout>
                <c:manualLayout>
                  <c:x val="-6.0675009480470228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1B-4157-ADF4-594F92B3002E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Weight!$B$3:$B$13</c:f>
              <c:strCache>
                <c:ptCount val="11"/>
                <c:pt idx="0">
                  <c:v>Communication
Services</c:v>
                </c:pt>
                <c:pt idx="1">
                  <c:v>Consumer
Discretionary</c:v>
                </c:pt>
                <c:pt idx="2">
                  <c:v>Consumer
Staples</c:v>
                </c:pt>
                <c:pt idx="3">
                  <c:v>Energy</c:v>
                </c:pt>
                <c:pt idx="4">
                  <c:v>Financials</c:v>
                </c:pt>
                <c:pt idx="5">
                  <c:v>Health Care</c:v>
                </c:pt>
                <c:pt idx="6">
                  <c:v>Industrials</c:v>
                </c:pt>
                <c:pt idx="7">
                  <c:v>Information
Technology</c:v>
                </c:pt>
                <c:pt idx="8">
                  <c:v>Materials</c:v>
                </c:pt>
                <c:pt idx="9">
                  <c:v>Real Estate</c:v>
                </c:pt>
                <c:pt idx="10">
                  <c:v>Utilities</c:v>
                </c:pt>
              </c:strCache>
            </c:strRef>
          </c:cat>
          <c:val>
            <c:numRef>
              <c:f>Weight!$D$3:$D$13</c:f>
              <c:numCache>
                <c:formatCode>0.00%</c:formatCode>
                <c:ptCount val="11"/>
                <c:pt idx="0">
                  <c:v>0.10003178026723503</c:v>
                </c:pt>
                <c:pt idx="1">
                  <c:v>0.10065835682247481</c:v>
                </c:pt>
                <c:pt idx="2">
                  <c:v>0.117300844908938</c:v>
                </c:pt>
                <c:pt idx="3">
                  <c:v>5.2207693521697997E-2</c:v>
                </c:pt>
                <c:pt idx="4">
                  <c:v>0.10210787494053145</c:v>
                </c:pt>
                <c:pt idx="5">
                  <c:v>0.12129868750157626</c:v>
                </c:pt>
                <c:pt idx="6">
                  <c:v>5.6585459715952677E-2</c:v>
                </c:pt>
                <c:pt idx="7">
                  <c:v>0.13949011755680349</c:v>
                </c:pt>
                <c:pt idx="8">
                  <c:v>5.8685148911261961E-2</c:v>
                </c:pt>
                <c:pt idx="9">
                  <c:v>6.0323780427556317E-2</c:v>
                </c:pt>
                <c:pt idx="10">
                  <c:v>9.1306933260117101E-2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B-4157-ADF4-594F92B3002E}"/>
            </c:ext>
          </c:extLst>
        </c:ser>
        <c:ser>
          <c:idx val="1"/>
          <c:order val="1"/>
          <c:tx>
            <c:strRef>
              <c:f>Weight!$E$2</c:f>
              <c:strCache>
                <c:ptCount val="1"/>
                <c:pt idx="0">
                  <c:v>S&amp;P 500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3904529046301699E-17"/>
                  <c:y val="-1.2913640032284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1B-4157-ADF4-594F92B3002E}"/>
                </c:ext>
              </c:extLst>
            </c:dLbl>
            <c:dLbl>
              <c:idx val="1"/>
              <c:layout>
                <c:manualLayout>
                  <c:x val="-2.7809058092603399E-17"/>
                  <c:y val="-3.5512510088781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1B-4157-ADF4-594F92B3002E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Weight!$B$3:$B$13</c:f>
              <c:strCache>
                <c:ptCount val="11"/>
                <c:pt idx="0">
                  <c:v>Communication
Services</c:v>
                </c:pt>
                <c:pt idx="1">
                  <c:v>Consumer
Discretionary</c:v>
                </c:pt>
                <c:pt idx="2">
                  <c:v>Consumer
Staples</c:v>
                </c:pt>
                <c:pt idx="3">
                  <c:v>Energy</c:v>
                </c:pt>
                <c:pt idx="4">
                  <c:v>Financials</c:v>
                </c:pt>
                <c:pt idx="5">
                  <c:v>Health Care</c:v>
                </c:pt>
                <c:pt idx="6">
                  <c:v>Industrials</c:v>
                </c:pt>
                <c:pt idx="7">
                  <c:v>Information
Technology</c:v>
                </c:pt>
                <c:pt idx="8">
                  <c:v>Materials</c:v>
                </c:pt>
                <c:pt idx="9">
                  <c:v>Real Estate</c:v>
                </c:pt>
                <c:pt idx="10">
                  <c:v>Utilities</c:v>
                </c:pt>
              </c:strCache>
            </c:strRef>
          </c:cat>
          <c:val>
            <c:numRef>
              <c:f>Weight!$E$3:$E$13</c:f>
              <c:numCache>
                <c:formatCode>0.00%</c:formatCode>
                <c:ptCount val="11"/>
                <c:pt idx="0">
                  <c:v>0.10502933</c:v>
                </c:pt>
                <c:pt idx="1">
                  <c:v>9.9225879999999989E-2</c:v>
                </c:pt>
                <c:pt idx="2">
                  <c:v>7.0624880000000001E-2</c:v>
                </c:pt>
                <c:pt idx="3">
                  <c:v>3.7469749999999996E-2</c:v>
                </c:pt>
                <c:pt idx="4">
                  <c:v>0.12476259000000001</c:v>
                </c:pt>
                <c:pt idx="5">
                  <c:v>0.13742367</c:v>
                </c:pt>
                <c:pt idx="6">
                  <c:v>8.9110540000000002E-2</c:v>
                </c:pt>
                <c:pt idx="7">
                  <c:v>0.2462116</c:v>
                </c:pt>
                <c:pt idx="8">
                  <c:v>2.5054850000000004E-2</c:v>
                </c:pt>
                <c:pt idx="9">
                  <c:v>3.0574499999999998E-2</c:v>
                </c:pt>
                <c:pt idx="10">
                  <c:v>3.451241E-2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B-4157-ADF4-594F92B300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24520512"/>
        <c:axId val="1024512968"/>
      </c:barChart>
      <c:catAx>
        <c:axId val="102452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512968"/>
        <c:crosses val="autoZero"/>
        <c:auto val="1"/>
        <c:lblAlgn val="ctr"/>
        <c:lblOffset val="100"/>
        <c:noMultiLvlLbl val="0"/>
      </c:catAx>
      <c:valAx>
        <c:axId val="102451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5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EIF Communication</a:t>
            </a:r>
            <a:r>
              <a:rPr lang="en-US" baseline="0"/>
              <a:t> Services vs S&amp;P Communication Services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6"/>
          <c:tx>
            <c:strRef>
              <c:f>'Communication Services'!$B$21</c:f>
              <c:strCache>
                <c:ptCount val="1"/>
                <c:pt idx="0">
                  <c:v>COMMUNICATION SERVICES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  <c:extLst xmlns:c15="http://schemas.microsoft.com/office/drawing/2012/chart"/>
            </c:numRef>
          </c:cat>
          <c:val>
            <c:numRef>
              <c:f>'Communication Services'!$C$21:$BM$21</c:f>
              <c:numCache>
                <c:formatCode>General</c:formatCode>
                <c:ptCount val="63"/>
                <c:pt idx="0">
                  <c:v>1</c:v>
                </c:pt>
                <c:pt idx="1">
                  <c:v>1.0090434263274124</c:v>
                </c:pt>
                <c:pt idx="2">
                  <c:v>1.0111701501027361</c:v>
                </c:pt>
                <c:pt idx="3">
                  <c:v>1.0059979490806366</c:v>
                </c:pt>
                <c:pt idx="4">
                  <c:v>1.0025434480286752</c:v>
                </c:pt>
                <c:pt idx="5">
                  <c:v>1.0066798887695265</c:v>
                </c:pt>
                <c:pt idx="6">
                  <c:v>1.0116148759857824</c:v>
                </c:pt>
                <c:pt idx="7">
                  <c:v>1.0010873632845432</c:v>
                </c:pt>
                <c:pt idx="8">
                  <c:v>1.0055408224758682</c:v>
                </c:pt>
                <c:pt idx="9">
                  <c:v>1.0170696934561592</c:v>
                </c:pt>
                <c:pt idx="10">
                  <c:v>1.0196970463680988</c:v>
                </c:pt>
                <c:pt idx="11">
                  <c:v>1.0289615855642797</c:v>
                </c:pt>
                <c:pt idx="12">
                  <c:v>1.0316261406413854</c:v>
                </c:pt>
                <c:pt idx="13">
                  <c:v>1.0312275174415149</c:v>
                </c:pt>
                <c:pt idx="14">
                  <c:v>1.0230941940820952</c:v>
                </c:pt>
                <c:pt idx="15">
                  <c:v>1.022471807859217</c:v>
                </c:pt>
                <c:pt idx="16">
                  <c:v>1.0218989745203169</c:v>
                </c:pt>
                <c:pt idx="17">
                  <c:v>1.0269357676616777</c:v>
                </c:pt>
                <c:pt idx="18">
                  <c:v>1.0332346342557135</c:v>
                </c:pt>
                <c:pt idx="19">
                  <c:v>1.0371642629601041</c:v>
                </c:pt>
                <c:pt idx="20">
                  <c:v>1.0357730819933717</c:v>
                </c:pt>
                <c:pt idx="21">
                  <c:v>1.0242181094939724</c:v>
                </c:pt>
                <c:pt idx="22">
                  <c:v>1.0236197746708855</c:v>
                </c:pt>
                <c:pt idx="23">
                  <c:v>1.027824219369567</c:v>
                </c:pt>
                <c:pt idx="24">
                  <c:v>1.0328069093621246</c:v>
                </c:pt>
                <c:pt idx="25">
                  <c:v>1.037889605175021</c:v>
                </c:pt>
                <c:pt idx="26">
                  <c:v>1.0346553169394457</c:v>
                </c:pt>
                <c:pt idx="27">
                  <c:v>1.038885163116493</c:v>
                </c:pt>
                <c:pt idx="28">
                  <c:v>1.0446538988569134</c:v>
                </c:pt>
                <c:pt idx="29">
                  <c:v>1.0468379259672909</c:v>
                </c:pt>
                <c:pt idx="30">
                  <c:v>1.0464827052934476</c:v>
                </c:pt>
                <c:pt idx="31">
                  <c:v>1.0573825396638081</c:v>
                </c:pt>
                <c:pt idx="32">
                  <c:v>1.0525718596822331</c:v>
                </c:pt>
                <c:pt idx="33">
                  <c:v>1.0574294423935466</c:v>
                </c:pt>
                <c:pt idx="34">
                  <c:v>1.072243304560325</c:v>
                </c:pt>
                <c:pt idx="35">
                  <c:v>1.0768075702005853</c:v>
                </c:pt>
                <c:pt idx="36">
                  <c:v>1.0734213731239153</c:v>
                </c:pt>
                <c:pt idx="37">
                  <c:v>1.0722663058990027</c:v>
                </c:pt>
                <c:pt idx="38">
                  <c:v>1.0828138197643098</c:v>
                </c:pt>
                <c:pt idx="39">
                  <c:v>1.0847285812034255</c:v>
                </c:pt>
                <c:pt idx="40">
                  <c:v>1.07223000378622</c:v>
                </c:pt>
                <c:pt idx="41">
                  <c:v>1.0742247198786965</c:v>
                </c:pt>
                <c:pt idx="42">
                  <c:v>1.090356558751719</c:v>
                </c:pt>
                <c:pt idx="43">
                  <c:v>1.0860329071151937</c:v>
                </c:pt>
                <c:pt idx="44">
                  <c:v>1.1007894659469177</c:v>
                </c:pt>
                <c:pt idx="45">
                  <c:v>1.1019115812540285</c:v>
                </c:pt>
                <c:pt idx="46">
                  <c:v>1.1070873324827502</c:v>
                </c:pt>
                <c:pt idx="47">
                  <c:v>1.1111876711224589</c:v>
                </c:pt>
                <c:pt idx="48">
                  <c:v>1.1132939937104336</c:v>
                </c:pt>
                <c:pt idx="49">
                  <c:v>1.1223236192346391</c:v>
                </c:pt>
                <c:pt idx="50">
                  <c:v>1.1210587456189947</c:v>
                </c:pt>
                <c:pt idx="51">
                  <c:v>1.1246615553025181</c:v>
                </c:pt>
                <c:pt idx="52">
                  <c:v>1.1333503609910094</c:v>
                </c:pt>
                <c:pt idx="53">
                  <c:v>1.1405854820750563</c:v>
                </c:pt>
                <c:pt idx="54">
                  <c:v>1.138348551885719</c:v>
                </c:pt>
                <c:pt idx="55">
                  <c:v>1.1372999908594674</c:v>
                </c:pt>
                <c:pt idx="56">
                  <c:v>1.130467493208104</c:v>
                </c:pt>
                <c:pt idx="57">
                  <c:v>1.1151244002400933</c:v>
                </c:pt>
                <c:pt idx="58">
                  <c:v>1.0937922587094562</c:v>
                </c:pt>
                <c:pt idx="59">
                  <c:v>1.108807332586756</c:v>
                </c:pt>
                <c:pt idx="60">
                  <c:v>1.1057472544902107</c:v>
                </c:pt>
                <c:pt idx="61">
                  <c:v>1.095270944768985</c:v>
                </c:pt>
                <c:pt idx="62">
                  <c:v>1.0726809300301272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370-44E2-BD45-10DB5CDE9B81}"/>
            </c:ext>
          </c:extLst>
        </c:ser>
        <c:ser>
          <c:idx val="7"/>
          <c:order val="7"/>
          <c:tx>
            <c:strRef>
              <c:f>'Communication Services'!$B$22</c:f>
              <c:strCache>
                <c:ptCount val="1"/>
                <c:pt idx="0">
                  <c:v>S&amp;P Comm. Svcs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Services'!$C$22:$BM$22</c:f>
              <c:numCache>
                <c:formatCode>General</c:formatCode>
                <c:ptCount val="63"/>
                <c:pt idx="0">
                  <c:v>1</c:v>
                </c:pt>
                <c:pt idx="1">
                  <c:v>1.0083226632522408</c:v>
                </c:pt>
                <c:pt idx="2">
                  <c:v>1.0123966942148761</c:v>
                </c:pt>
                <c:pt idx="3">
                  <c:v>1.0116982889069959</c:v>
                </c:pt>
                <c:pt idx="4">
                  <c:v>1.009661273425678</c:v>
                </c:pt>
                <c:pt idx="5">
                  <c:v>1.0164125247351881</c:v>
                </c:pt>
                <c:pt idx="6">
                  <c:v>1.0201373530438833</c:v>
                </c:pt>
                <c:pt idx="7">
                  <c:v>1.0161215225235714</c:v>
                </c:pt>
                <c:pt idx="8">
                  <c:v>1.0191479455243861</c:v>
                </c:pt>
                <c:pt idx="9">
                  <c:v>1.0234547782563148</c:v>
                </c:pt>
                <c:pt idx="10">
                  <c:v>1.0265394016994531</c:v>
                </c:pt>
                <c:pt idx="11">
                  <c:v>1.0338144569898733</c:v>
                </c:pt>
                <c:pt idx="12">
                  <c:v>1.0366662786637182</c:v>
                </c:pt>
                <c:pt idx="13">
                  <c:v>1.0339890583168434</c:v>
                </c:pt>
                <c:pt idx="14">
                  <c:v>1.0257827959492494</c:v>
                </c:pt>
                <c:pt idx="15">
                  <c:v>1.0283436154114773</c:v>
                </c:pt>
                <c:pt idx="16">
                  <c:v>1.0296822255849145</c:v>
                </c:pt>
                <c:pt idx="17">
                  <c:v>1.0309044348737051</c:v>
                </c:pt>
                <c:pt idx="18">
                  <c:v>1.0346292631824003</c:v>
                </c:pt>
                <c:pt idx="19">
                  <c:v>1.0411477127226167</c:v>
                </c:pt>
                <c:pt idx="20">
                  <c:v>1.0373646839715984</c:v>
                </c:pt>
                <c:pt idx="21">
                  <c:v>1.0283436154114773</c:v>
                </c:pt>
                <c:pt idx="22">
                  <c:v>1.027470608776627</c:v>
                </c:pt>
                <c:pt idx="23">
                  <c:v>1.0340472587591669</c:v>
                </c:pt>
                <c:pt idx="24">
                  <c:v>1.0380630892794789</c:v>
                </c:pt>
                <c:pt idx="25">
                  <c:v>1.0445815388196953</c:v>
                </c:pt>
                <c:pt idx="26">
                  <c:v>1.0415551158188805</c:v>
                </c:pt>
                <c:pt idx="27">
                  <c:v>1.0378302875101852</c:v>
                </c:pt>
                <c:pt idx="28">
                  <c:v>1.0409731113956469</c:v>
                </c:pt>
                <c:pt idx="29">
                  <c:v>1.0409149109533233</c:v>
                </c:pt>
                <c:pt idx="30">
                  <c:v>1.0375392852985685</c:v>
                </c:pt>
                <c:pt idx="31">
                  <c:v>1.0483063671283905</c:v>
                </c:pt>
                <c:pt idx="32">
                  <c:v>1.0484227680130371</c:v>
                </c:pt>
                <c:pt idx="33">
                  <c:v>1.0515073914561752</c:v>
                </c:pt>
                <c:pt idx="34">
                  <c:v>1.0598300547084161</c:v>
                </c:pt>
                <c:pt idx="35">
                  <c:v>1.0639040856710513</c:v>
                </c:pt>
                <c:pt idx="36">
                  <c:v>1.0602956582470029</c:v>
                </c:pt>
                <c:pt idx="37">
                  <c:v>1.0588988476312422</c:v>
                </c:pt>
                <c:pt idx="38">
                  <c:v>1.0675125130950998</c:v>
                </c:pt>
                <c:pt idx="39">
                  <c:v>1.0659993015946923</c:v>
                </c:pt>
                <c:pt idx="40">
                  <c:v>1.0550576184379004</c:v>
                </c:pt>
                <c:pt idx="41">
                  <c:v>1.0571528343615413</c:v>
                </c:pt>
                <c:pt idx="42">
                  <c:v>1.0710627400768249</c:v>
                </c:pt>
                <c:pt idx="43">
                  <c:v>1.0651262949598419</c:v>
                </c:pt>
                <c:pt idx="44">
                  <c:v>1.0781049935979516</c:v>
                </c:pt>
                <c:pt idx="45">
                  <c:v>1.0776975905016879</c:v>
                </c:pt>
                <c:pt idx="46">
                  <c:v>1.0850890466767551</c:v>
                </c:pt>
                <c:pt idx="47">
                  <c:v>1.0878826679082765</c:v>
                </c:pt>
                <c:pt idx="48">
                  <c:v>1.0861948550808991</c:v>
                </c:pt>
                <c:pt idx="49">
                  <c:v>1.0946339192177867</c:v>
                </c:pt>
                <c:pt idx="50">
                  <c:v>1.0913746944476785</c:v>
                </c:pt>
                <c:pt idx="51">
                  <c:v>1.0950413223140505</c:v>
                </c:pt>
                <c:pt idx="52">
                  <c:v>1.1023163776044707</c:v>
                </c:pt>
                <c:pt idx="53">
                  <c:v>1.1122104527994421</c:v>
                </c:pt>
                <c:pt idx="54">
                  <c:v>1.1116866488185317</c:v>
                </c:pt>
                <c:pt idx="55">
                  <c:v>1.1123268536840887</c:v>
                </c:pt>
                <c:pt idx="56">
                  <c:v>1.1085438249330701</c:v>
                </c:pt>
                <c:pt idx="57">
                  <c:v>1.0969619369107211</c:v>
                </c:pt>
                <c:pt idx="58">
                  <c:v>1.0783959958095688</c:v>
                </c:pt>
                <c:pt idx="59">
                  <c:v>1.0911418926783849</c:v>
                </c:pt>
                <c:pt idx="60">
                  <c:v>1.0864276568501925</c:v>
                </c:pt>
                <c:pt idx="61">
                  <c:v>1.0778139913863349</c:v>
                </c:pt>
                <c:pt idx="62">
                  <c:v>1.064136887440345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70-44E2-BD45-10DB5CDE9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0959344"/>
        <c:axId val="10109439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'Communication Services'!$B$3</c15:sqref>
                        </c15:formulaRef>
                      </c:ext>
                    </c:extLst>
                    <c:strCache>
                      <c:ptCount val="1"/>
                      <c:pt idx="0">
                        <c:v>COMMUNICATION SERVICES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'Communication Services'!$C$3:$BM$3</c15:sqref>
                        </c15:formulaRef>
                      </c:ext>
                    </c:extLst>
                    <c:numCache>
                      <c:formatCode>0.00</c:formatCode>
                      <c:ptCount val="63"/>
                      <c:pt idx="0">
                        <c:v>99994.18</c:v>
                      </c:pt>
                      <c:pt idx="1">
                        <c:v>100898.47</c:v>
                      </c:pt>
                      <c:pt idx="2">
                        <c:v>101111.13</c:v>
                      </c:pt>
                      <c:pt idx="3">
                        <c:v>100593.94</c:v>
                      </c:pt>
                      <c:pt idx="4">
                        <c:v>100248.51</c:v>
                      </c:pt>
                      <c:pt idx="5">
                        <c:v>100662.13</c:v>
                      </c:pt>
                      <c:pt idx="6">
                        <c:v>101155.6</c:v>
                      </c:pt>
                      <c:pt idx="7">
                        <c:v>100102.91</c:v>
                      </c:pt>
                      <c:pt idx="8">
                        <c:v>100548.23000000001</c:v>
                      </c:pt>
                      <c:pt idx="9">
                        <c:v>101701.05</c:v>
                      </c:pt>
                      <c:pt idx="10">
                        <c:v>101963.77000000002</c:v>
                      </c:pt>
                      <c:pt idx="11">
                        <c:v>102890.17</c:v>
                      </c:pt>
                      <c:pt idx="12">
                        <c:v>103156.61000000002</c:v>
                      </c:pt>
                      <c:pt idx="13">
                        <c:v>103116.75</c:v>
                      </c:pt>
                      <c:pt idx="14">
                        <c:v>102303.465</c:v>
                      </c:pt>
                      <c:pt idx="15">
                        <c:v>102241.23</c:v>
                      </c:pt>
                      <c:pt idx="16">
                        <c:v>102183.95000000001</c:v>
                      </c:pt>
                      <c:pt idx="17">
                        <c:v>102687.6</c:v>
                      </c:pt>
                      <c:pt idx="18">
                        <c:v>103317.45</c:v>
                      </c:pt>
                      <c:pt idx="19">
                        <c:v>103710.39</c:v>
                      </c:pt>
                      <c:pt idx="20">
                        <c:v>103571.28</c:v>
                      </c:pt>
                      <c:pt idx="21">
                        <c:v>102415.85</c:v>
                      </c:pt>
                      <c:pt idx="22">
                        <c:v>102356.01999999999</c:v>
                      </c:pt>
                      <c:pt idx="23">
                        <c:v>102776.44</c:v>
                      </c:pt>
                      <c:pt idx="24">
                        <c:v>103274.68000000001</c:v>
                      </c:pt>
                      <c:pt idx="25">
                        <c:v>103782.92000000001</c:v>
                      </c:pt>
                      <c:pt idx="26">
                        <c:v>103459.51000000001</c:v>
                      </c:pt>
                      <c:pt idx="27">
                        <c:v>103882.47</c:v>
                      </c:pt>
                      <c:pt idx="28">
                        <c:v>104459.31000000001</c:v>
                      </c:pt>
                      <c:pt idx="29">
                        <c:v>104677.7</c:v>
                      </c:pt>
                      <c:pt idx="30">
                        <c:v>104642.18</c:v>
                      </c:pt>
                      <c:pt idx="31">
                        <c:v>105732.1</c:v>
                      </c:pt>
                      <c:pt idx="32">
                        <c:v>105251.06</c:v>
                      </c:pt>
                      <c:pt idx="33">
                        <c:v>105736.78999999998</c:v>
                      </c:pt>
                      <c:pt idx="34">
                        <c:v>107218.09000000001</c:v>
                      </c:pt>
                      <c:pt idx="35">
                        <c:v>107674.49</c:v>
                      </c:pt>
                      <c:pt idx="36">
                        <c:v>107335.89</c:v>
                      </c:pt>
                      <c:pt idx="37">
                        <c:v>107220.39</c:v>
                      </c:pt>
                      <c:pt idx="38">
                        <c:v>108275.08</c:v>
                      </c:pt>
                      <c:pt idx="39">
                        <c:v>108466.545</c:v>
                      </c:pt>
                      <c:pt idx="40">
                        <c:v>107216.76000000001</c:v>
                      </c:pt>
                      <c:pt idx="41">
                        <c:v>107416.22</c:v>
                      </c:pt>
                      <c:pt idx="42">
                        <c:v>109029.31</c:v>
                      </c:pt>
                      <c:pt idx="43">
                        <c:v>108596.97</c:v>
                      </c:pt>
                      <c:pt idx="44">
                        <c:v>110072.54</c:v>
                      </c:pt>
                      <c:pt idx="45">
                        <c:v>110184.745</c:v>
                      </c:pt>
                      <c:pt idx="46">
                        <c:v>110702.29000000001</c:v>
                      </c:pt>
                      <c:pt idx="47">
                        <c:v>111112.29999999999</c:v>
                      </c:pt>
                      <c:pt idx="48">
                        <c:v>111322.92000000001</c:v>
                      </c:pt>
                      <c:pt idx="49">
                        <c:v>112225.83</c:v>
                      </c:pt>
                      <c:pt idx="50">
                        <c:v>112099.35</c:v>
                      </c:pt>
                      <c:pt idx="51">
                        <c:v>112459.61</c:v>
                      </c:pt>
                      <c:pt idx="52">
                        <c:v>113328.44000000002</c:v>
                      </c:pt>
                      <c:pt idx="53">
                        <c:v>114051.91</c:v>
                      </c:pt>
                      <c:pt idx="54">
                        <c:v>113828.23</c:v>
                      </c:pt>
                      <c:pt idx="55">
                        <c:v>113723.38</c:v>
                      </c:pt>
                      <c:pt idx="56">
                        <c:v>113040.17</c:v>
                      </c:pt>
                      <c:pt idx="57">
                        <c:v>111505.95</c:v>
                      </c:pt>
                      <c:pt idx="58">
                        <c:v>109372.86</c:v>
                      </c:pt>
                      <c:pt idx="59">
                        <c:v>110874.28</c:v>
                      </c:pt>
                      <c:pt idx="60">
                        <c:v>110568.29</c:v>
                      </c:pt>
                      <c:pt idx="61">
                        <c:v>109520.72</c:v>
                      </c:pt>
                      <c:pt idx="62">
                        <c:v>107261.85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370-44E2-BD45-10DB5CDE9B81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Services'!$B$4</c15:sqref>
                        </c15:formulaRef>
                      </c:ext>
                    </c:extLst>
                    <c:strCache>
                      <c:ptCount val="1"/>
                      <c:pt idx="0">
                        <c:v>S5TELS INDEX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Services'!$C$4:$BM$4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171.82</c:v>
                      </c:pt>
                      <c:pt idx="1">
                        <c:v>173.25</c:v>
                      </c:pt>
                      <c:pt idx="2">
                        <c:v>173.95</c:v>
                      </c:pt>
                      <c:pt idx="3">
                        <c:v>173.83</c:v>
                      </c:pt>
                      <c:pt idx="4">
                        <c:v>173.48</c:v>
                      </c:pt>
                      <c:pt idx="5">
                        <c:v>174.64</c:v>
                      </c:pt>
                      <c:pt idx="6">
                        <c:v>175.28</c:v>
                      </c:pt>
                      <c:pt idx="7">
                        <c:v>174.59</c:v>
                      </c:pt>
                      <c:pt idx="8">
                        <c:v>175.11</c:v>
                      </c:pt>
                      <c:pt idx="9">
                        <c:v>175.85</c:v>
                      </c:pt>
                      <c:pt idx="10">
                        <c:v>176.38</c:v>
                      </c:pt>
                      <c:pt idx="11">
                        <c:v>177.63</c:v>
                      </c:pt>
                      <c:pt idx="12">
                        <c:v>178.12</c:v>
                      </c:pt>
                      <c:pt idx="13">
                        <c:v>177.66</c:v>
                      </c:pt>
                      <c:pt idx="14">
                        <c:v>176.25</c:v>
                      </c:pt>
                      <c:pt idx="15">
                        <c:v>176.69</c:v>
                      </c:pt>
                      <c:pt idx="16">
                        <c:v>176.92</c:v>
                      </c:pt>
                      <c:pt idx="17">
                        <c:v>177.13</c:v>
                      </c:pt>
                      <c:pt idx="18">
                        <c:v>177.77</c:v>
                      </c:pt>
                      <c:pt idx="19">
                        <c:v>178.89</c:v>
                      </c:pt>
                      <c:pt idx="20">
                        <c:v>178.24</c:v>
                      </c:pt>
                      <c:pt idx="21">
                        <c:v>176.69</c:v>
                      </c:pt>
                      <c:pt idx="22">
                        <c:v>176.54</c:v>
                      </c:pt>
                      <c:pt idx="23">
                        <c:v>177.67</c:v>
                      </c:pt>
                      <c:pt idx="24">
                        <c:v>178.36</c:v>
                      </c:pt>
                      <c:pt idx="25">
                        <c:v>179.48</c:v>
                      </c:pt>
                      <c:pt idx="26">
                        <c:v>178.96</c:v>
                      </c:pt>
                      <c:pt idx="27">
                        <c:v>178.32</c:v>
                      </c:pt>
                      <c:pt idx="28">
                        <c:v>178.86</c:v>
                      </c:pt>
                      <c:pt idx="29">
                        <c:v>178.85</c:v>
                      </c:pt>
                      <c:pt idx="30">
                        <c:v>178.27</c:v>
                      </c:pt>
                      <c:pt idx="31">
                        <c:v>180.12</c:v>
                      </c:pt>
                      <c:pt idx="32">
                        <c:v>180.14</c:v>
                      </c:pt>
                      <c:pt idx="33">
                        <c:v>180.67</c:v>
                      </c:pt>
                      <c:pt idx="34">
                        <c:v>182.1</c:v>
                      </c:pt>
                      <c:pt idx="35">
                        <c:v>182.8</c:v>
                      </c:pt>
                      <c:pt idx="36">
                        <c:v>182.18</c:v>
                      </c:pt>
                      <c:pt idx="37">
                        <c:v>181.94</c:v>
                      </c:pt>
                      <c:pt idx="38">
                        <c:v>183.42</c:v>
                      </c:pt>
                      <c:pt idx="39">
                        <c:v>183.16</c:v>
                      </c:pt>
                      <c:pt idx="40">
                        <c:v>181.28</c:v>
                      </c:pt>
                      <c:pt idx="41">
                        <c:v>181.64</c:v>
                      </c:pt>
                      <c:pt idx="42">
                        <c:v>184.03</c:v>
                      </c:pt>
                      <c:pt idx="43">
                        <c:v>183.01</c:v>
                      </c:pt>
                      <c:pt idx="44">
                        <c:v>185.24</c:v>
                      </c:pt>
                      <c:pt idx="45">
                        <c:v>185.17</c:v>
                      </c:pt>
                      <c:pt idx="46">
                        <c:v>186.44</c:v>
                      </c:pt>
                      <c:pt idx="47">
                        <c:v>186.92</c:v>
                      </c:pt>
                      <c:pt idx="48">
                        <c:v>186.63</c:v>
                      </c:pt>
                      <c:pt idx="49">
                        <c:v>188.08</c:v>
                      </c:pt>
                      <c:pt idx="50">
                        <c:v>187.52</c:v>
                      </c:pt>
                      <c:pt idx="51">
                        <c:v>188.15</c:v>
                      </c:pt>
                      <c:pt idx="52">
                        <c:v>189.4</c:v>
                      </c:pt>
                      <c:pt idx="53">
                        <c:v>191.1</c:v>
                      </c:pt>
                      <c:pt idx="54">
                        <c:v>191.01</c:v>
                      </c:pt>
                      <c:pt idx="55">
                        <c:v>191.12</c:v>
                      </c:pt>
                      <c:pt idx="56">
                        <c:v>190.47</c:v>
                      </c:pt>
                      <c:pt idx="57">
                        <c:v>188.48</c:v>
                      </c:pt>
                      <c:pt idx="58">
                        <c:v>185.29</c:v>
                      </c:pt>
                      <c:pt idx="59">
                        <c:v>187.48</c:v>
                      </c:pt>
                      <c:pt idx="60">
                        <c:v>186.67</c:v>
                      </c:pt>
                      <c:pt idx="61">
                        <c:v>185.19</c:v>
                      </c:pt>
                      <c:pt idx="62">
                        <c:v>182.84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370-44E2-BD45-10DB5CDE9B8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Services'!$B$5</c15:sqref>
                        </c15:formulaRef>
                      </c:ext>
                    </c:extLst>
                    <c:strCache>
                      <c:ptCount val="1"/>
                      <c:pt idx="0">
                        <c:v>SPX INDEX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Services'!$C$5:$BM$5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3037.56</c:v>
                      </c:pt>
                      <c:pt idx="1">
                        <c:v>3066.91</c:v>
                      </c:pt>
                      <c:pt idx="2">
                        <c:v>3078.27</c:v>
                      </c:pt>
                      <c:pt idx="3">
                        <c:v>3074.62</c:v>
                      </c:pt>
                      <c:pt idx="4">
                        <c:v>3076.78</c:v>
                      </c:pt>
                      <c:pt idx="5">
                        <c:v>3085.18</c:v>
                      </c:pt>
                      <c:pt idx="6">
                        <c:v>3093.08</c:v>
                      </c:pt>
                      <c:pt idx="7">
                        <c:v>3087.01</c:v>
                      </c:pt>
                      <c:pt idx="8">
                        <c:v>3091.84</c:v>
                      </c:pt>
                      <c:pt idx="9">
                        <c:v>3094.04</c:v>
                      </c:pt>
                      <c:pt idx="10">
                        <c:v>3096.63</c:v>
                      </c:pt>
                      <c:pt idx="11">
                        <c:v>3120.46</c:v>
                      </c:pt>
                      <c:pt idx="12">
                        <c:v>3122.03</c:v>
                      </c:pt>
                      <c:pt idx="13">
                        <c:v>3120.18</c:v>
                      </c:pt>
                      <c:pt idx="14">
                        <c:v>3108.46</c:v>
                      </c:pt>
                      <c:pt idx="15">
                        <c:v>3103.54</c:v>
                      </c:pt>
                      <c:pt idx="16">
                        <c:v>3110.29</c:v>
                      </c:pt>
                      <c:pt idx="17">
                        <c:v>3133.64</c:v>
                      </c:pt>
                      <c:pt idx="18">
                        <c:v>3140.52</c:v>
                      </c:pt>
                      <c:pt idx="19">
                        <c:v>3153.63</c:v>
                      </c:pt>
                      <c:pt idx="20">
                        <c:v>3140.98</c:v>
                      </c:pt>
                      <c:pt idx="21">
                        <c:v>3113.87</c:v>
                      </c:pt>
                      <c:pt idx="22">
                        <c:v>3093.2</c:v>
                      </c:pt>
                      <c:pt idx="23">
                        <c:v>3112.76</c:v>
                      </c:pt>
                      <c:pt idx="24">
                        <c:v>3117.43</c:v>
                      </c:pt>
                      <c:pt idx="25">
                        <c:v>3145.91</c:v>
                      </c:pt>
                      <c:pt idx="26">
                        <c:v>3135.96</c:v>
                      </c:pt>
                      <c:pt idx="27">
                        <c:v>3132.52</c:v>
                      </c:pt>
                      <c:pt idx="28">
                        <c:v>3141.63</c:v>
                      </c:pt>
                      <c:pt idx="29">
                        <c:v>3168.57</c:v>
                      </c:pt>
                      <c:pt idx="30">
                        <c:v>3168.8</c:v>
                      </c:pt>
                      <c:pt idx="31">
                        <c:v>3191.45</c:v>
                      </c:pt>
                      <c:pt idx="32">
                        <c:v>3192.52</c:v>
                      </c:pt>
                      <c:pt idx="33">
                        <c:v>3191.14</c:v>
                      </c:pt>
                      <c:pt idx="34">
                        <c:v>3205.37</c:v>
                      </c:pt>
                      <c:pt idx="35">
                        <c:v>3221.22</c:v>
                      </c:pt>
                      <c:pt idx="36">
                        <c:v>3224.01</c:v>
                      </c:pt>
                      <c:pt idx="37">
                        <c:v>3223.38</c:v>
                      </c:pt>
                      <c:pt idx="38">
                        <c:v>3239.91</c:v>
                      </c:pt>
                      <c:pt idx="39">
                        <c:v>3240.02</c:v>
                      </c:pt>
                      <c:pt idx="40">
                        <c:v>3221.29</c:v>
                      </c:pt>
                      <c:pt idx="41">
                        <c:v>3230.78</c:v>
                      </c:pt>
                      <c:pt idx="42">
                        <c:v>3257.85</c:v>
                      </c:pt>
                      <c:pt idx="43">
                        <c:v>3234.85</c:v>
                      </c:pt>
                      <c:pt idx="44">
                        <c:v>3246.28</c:v>
                      </c:pt>
                      <c:pt idx="45">
                        <c:v>3237.18</c:v>
                      </c:pt>
                      <c:pt idx="46">
                        <c:v>3253.05</c:v>
                      </c:pt>
                      <c:pt idx="47">
                        <c:v>3274.7</c:v>
                      </c:pt>
                      <c:pt idx="48">
                        <c:v>3265.35</c:v>
                      </c:pt>
                      <c:pt idx="49">
                        <c:v>3288.13</c:v>
                      </c:pt>
                      <c:pt idx="50">
                        <c:v>3283.15</c:v>
                      </c:pt>
                      <c:pt idx="51">
                        <c:v>3289.29</c:v>
                      </c:pt>
                      <c:pt idx="52">
                        <c:v>3316.81</c:v>
                      </c:pt>
                      <c:pt idx="53">
                        <c:v>3329.62</c:v>
                      </c:pt>
                      <c:pt idx="54">
                        <c:v>3320.79</c:v>
                      </c:pt>
                      <c:pt idx="55">
                        <c:v>3321.75</c:v>
                      </c:pt>
                      <c:pt idx="56">
                        <c:v>3325.54</c:v>
                      </c:pt>
                      <c:pt idx="57">
                        <c:v>3295.47</c:v>
                      </c:pt>
                      <c:pt idx="58">
                        <c:v>3243.63</c:v>
                      </c:pt>
                      <c:pt idx="59">
                        <c:v>3276.24</c:v>
                      </c:pt>
                      <c:pt idx="60">
                        <c:v>3273.4</c:v>
                      </c:pt>
                      <c:pt idx="61">
                        <c:v>3283.66</c:v>
                      </c:pt>
                      <c:pt idx="62">
                        <c:v>3225.52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370-44E2-BD45-10DB5CDE9B8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Services'!$C$12:$BM$12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9.043426327412396E-3</c:v>
                      </c:pt>
                      <c:pt idx="2">
                        <c:v>2.1076632777483617E-3</c:v>
                      </c:pt>
                      <c:pt idx="3">
                        <c:v>-5.1150649785043356E-3</c:v>
                      </c:pt>
                      <c:pt idx="4">
                        <c:v>-3.4339046666231887E-3</c:v>
                      </c:pt>
                      <c:pt idx="5">
                        <c:v>4.1259466100793674E-3</c:v>
                      </c:pt>
                      <c:pt idx="6">
                        <c:v>4.9022407930370271E-3</c:v>
                      </c:pt>
                      <c:pt idx="7">
                        <c:v>-1.0406640858242167E-2</c:v>
                      </c:pt>
                      <c:pt idx="8">
                        <c:v>4.4486219231789637E-3</c:v>
                      </c:pt>
                      <c:pt idx="9">
                        <c:v>1.1465343547071738E-2</c:v>
                      </c:pt>
                      <c:pt idx="10">
                        <c:v>2.5832574983248868E-3</c:v>
                      </c:pt>
                      <c:pt idx="11">
                        <c:v>9.0855801035993888E-3</c:v>
                      </c:pt>
                      <c:pt idx="12">
                        <c:v>2.5895573892045221E-3</c:v>
                      </c:pt>
                      <c:pt idx="13">
                        <c:v>-3.864027714755025E-4</c:v>
                      </c:pt>
                      <c:pt idx="14">
                        <c:v>-7.8870309624770041E-3</c:v>
                      </c:pt>
                      <c:pt idx="15">
                        <c:v>-6.0833716629249412E-4</c:v>
                      </c:pt>
                      <c:pt idx="16">
                        <c:v>-5.6024365121565278E-4</c:v>
                      </c:pt>
                      <c:pt idx="17">
                        <c:v>4.928856244057922E-3</c:v>
                      </c:pt>
                      <c:pt idx="18">
                        <c:v>6.1336519696633118E-3</c:v>
                      </c:pt>
                      <c:pt idx="19">
                        <c:v>3.8032297545089744E-3</c:v>
                      </c:pt>
                      <c:pt idx="20">
                        <c:v>-1.3413313748025235E-3</c:v>
                      </c:pt>
                      <c:pt idx="21">
                        <c:v>-1.1155891865003431E-2</c:v>
                      </c:pt>
                      <c:pt idx="22">
                        <c:v>-5.8418692028638919E-4</c:v>
                      </c:pt>
                      <c:pt idx="23">
                        <c:v>4.1074281708102234E-3</c:v>
                      </c:pt>
                      <c:pt idx="24">
                        <c:v>4.8478036406010006E-3</c:v>
                      </c:pt>
                      <c:pt idx="25">
                        <c:v>4.9212449750510867E-3</c:v>
                      </c:pt>
                      <c:pt idx="26">
                        <c:v>-3.1162160401730921E-3</c:v>
                      </c:pt>
                      <c:pt idx="27">
                        <c:v>4.0881693717667034E-3</c:v>
                      </c:pt>
                      <c:pt idx="28">
                        <c:v>5.5528136749156687E-3</c:v>
                      </c:pt>
                      <c:pt idx="29">
                        <c:v>2.0906705204157827E-3</c:v>
                      </c:pt>
                      <c:pt idx="30">
                        <c:v>-3.3932728747387841E-4</c:v>
                      </c:pt>
                      <c:pt idx="31">
                        <c:v>1.0415685147232345E-2</c:v>
                      </c:pt>
                      <c:pt idx="32">
                        <c:v>-4.5496117073244857E-3</c:v>
                      </c:pt>
                      <c:pt idx="33">
                        <c:v>4.6149653979730143E-3</c:v>
                      </c:pt>
                      <c:pt idx="34">
                        <c:v>1.4009315017034618E-2</c:v>
                      </c:pt>
                      <c:pt idx="35">
                        <c:v>4.2567443609562439E-3</c:v>
                      </c:pt>
                      <c:pt idx="36">
                        <c:v>-3.1446631416597315E-3</c:v>
                      </c:pt>
                      <c:pt idx="37">
                        <c:v>-1.0760613248746997E-3</c:v>
                      </c:pt>
                      <c:pt idx="38">
                        <c:v>9.8366551362105703E-3</c:v>
                      </c:pt>
                      <c:pt idx="39">
                        <c:v>1.7683200972928859E-3</c:v>
                      </c:pt>
                      <c:pt idx="40">
                        <c:v>-1.1522308560671712E-2</c:v>
                      </c:pt>
                      <c:pt idx="41">
                        <c:v>1.8603434761503834E-3</c:v>
                      </c:pt>
                      <c:pt idx="42">
                        <c:v>1.5017192003218938E-2</c:v>
                      </c:pt>
                      <c:pt idx="43">
                        <c:v>-3.9653557378286353E-3</c:v>
                      </c:pt>
                      <c:pt idx="44">
                        <c:v>1.3587579837632591E-2</c:v>
                      </c:pt>
                      <c:pt idx="45">
                        <c:v>1.0193732242391729E-3</c:v>
                      </c:pt>
                      <c:pt idx="46">
                        <c:v>4.697065823404234E-3</c:v>
                      </c:pt>
                      <c:pt idx="47">
                        <c:v>3.7037174208409684E-3</c:v>
                      </c:pt>
                      <c:pt idx="48">
                        <c:v>1.8955597175112082E-3</c:v>
                      </c:pt>
                      <c:pt idx="49">
                        <c:v>8.1107286801316292E-3</c:v>
                      </c:pt>
                      <c:pt idx="50">
                        <c:v>-1.1270132731474591E-3</c:v>
                      </c:pt>
                      <c:pt idx="51">
                        <c:v>3.2137563687923976E-3</c:v>
                      </c:pt>
                      <c:pt idx="52">
                        <c:v>7.7257070338410117E-3</c:v>
                      </c:pt>
                      <c:pt idx="53">
                        <c:v>6.3838344549698167E-3</c:v>
                      </c:pt>
                      <c:pt idx="54">
                        <c:v>-1.9612122234516915E-3</c:v>
                      </c:pt>
                      <c:pt idx="55">
                        <c:v>-9.2112475086358891E-4</c:v>
                      </c:pt>
                      <c:pt idx="56">
                        <c:v>-6.007647679835082E-3</c:v>
                      </c:pt>
                      <c:pt idx="57">
                        <c:v>-1.3572343353694505E-2</c:v>
                      </c:pt>
                      <c:pt idx="58">
                        <c:v>-1.9129831188380519E-2</c:v>
                      </c:pt>
                      <c:pt idx="59">
                        <c:v>1.3727537160498571E-2</c:v>
                      </c:pt>
                      <c:pt idx="60">
                        <c:v>-2.7597924423952147E-3</c:v>
                      </c:pt>
                      <c:pt idx="61">
                        <c:v>-9.4744162182484049E-3</c:v>
                      </c:pt>
                      <c:pt idx="62">
                        <c:v>-2.0625047023065557E-2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370-44E2-BD45-10DB5CDE9B81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Services'!$C$13:$BM$13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8.3226632522408472E-3</c:v>
                      </c:pt>
                      <c:pt idx="2">
                        <c:v>4.0404040404040664E-3</c:v>
                      </c:pt>
                      <c:pt idx="3">
                        <c:v>-6.8985340615101975E-4</c:v>
                      </c:pt>
                      <c:pt idx="4">
                        <c:v>-2.0134614278318752E-3</c:v>
                      </c:pt>
                      <c:pt idx="5">
                        <c:v>6.6866497578972339E-3</c:v>
                      </c:pt>
                      <c:pt idx="6">
                        <c:v>3.664681630783484E-3</c:v>
                      </c:pt>
                      <c:pt idx="7">
                        <c:v>-3.936558649018651E-3</c:v>
                      </c:pt>
                      <c:pt idx="8">
                        <c:v>2.9784065524944836E-3</c:v>
                      </c:pt>
                      <c:pt idx="9">
                        <c:v>4.2259151390553473E-3</c:v>
                      </c:pt>
                      <c:pt idx="10">
                        <c:v>3.0139323286892949E-3</c:v>
                      </c:pt>
                      <c:pt idx="11">
                        <c:v>7.0869713119401379E-3</c:v>
                      </c:pt>
                      <c:pt idx="12">
                        <c:v>2.7585430389012178E-3</c:v>
                      </c:pt>
                      <c:pt idx="13">
                        <c:v>-2.5825286323827301E-3</c:v>
                      </c:pt>
                      <c:pt idx="14">
                        <c:v>-7.9365079365079083E-3</c:v>
                      </c:pt>
                      <c:pt idx="15">
                        <c:v>2.4964539007092945E-3</c:v>
                      </c:pt>
                      <c:pt idx="16">
                        <c:v>1.3017148678475809E-3</c:v>
                      </c:pt>
                      <c:pt idx="17">
                        <c:v>1.186977164820302E-3</c:v>
                      </c:pt>
                      <c:pt idx="18">
                        <c:v>3.6131654716875516E-3</c:v>
                      </c:pt>
                      <c:pt idx="19">
                        <c:v>6.3002756370589275E-3</c:v>
                      </c:pt>
                      <c:pt idx="20">
                        <c:v>-3.6335178042371519E-3</c:v>
                      </c:pt>
                      <c:pt idx="21">
                        <c:v>-8.6961400359066854E-3</c:v>
                      </c:pt>
                      <c:pt idx="22">
                        <c:v>-8.4894447903105519E-4</c:v>
                      </c:pt>
                      <c:pt idx="23">
                        <c:v>6.4008156791661719E-3</c:v>
                      </c:pt>
                      <c:pt idx="24">
                        <c:v>3.8836044351888699E-3</c:v>
                      </c:pt>
                      <c:pt idx="25">
                        <c:v>6.2794348508632414E-3</c:v>
                      </c:pt>
                      <c:pt idx="26">
                        <c:v>-2.8972587474926925E-3</c:v>
                      </c:pt>
                      <c:pt idx="27">
                        <c:v>-3.5762181493071976E-3</c:v>
                      </c:pt>
                      <c:pt idx="28">
                        <c:v>3.0282637954239799E-3</c:v>
                      </c:pt>
                      <c:pt idx="29">
                        <c:v>-5.5909650005681044E-5</c:v>
                      </c:pt>
                      <c:pt idx="30">
                        <c:v>-3.242941012021161E-3</c:v>
                      </c:pt>
                      <c:pt idx="31">
                        <c:v>1.0377517249116508E-2</c:v>
                      </c:pt>
                      <c:pt idx="32">
                        <c:v>1.1103708638682264E-4</c:v>
                      </c:pt>
                      <c:pt idx="33">
                        <c:v>2.9421561008105002E-3</c:v>
                      </c:pt>
                      <c:pt idx="34">
                        <c:v>7.9149831183926711E-3</c:v>
                      </c:pt>
                      <c:pt idx="35">
                        <c:v>3.8440417353102774E-3</c:v>
                      </c:pt>
                      <c:pt idx="36">
                        <c:v>-3.3916849015317441E-3</c:v>
                      </c:pt>
                      <c:pt idx="37">
                        <c:v>-1.3173784169503433E-3</c:v>
                      </c:pt>
                      <c:pt idx="38">
                        <c:v>8.1345498515994485E-3</c:v>
                      </c:pt>
                      <c:pt idx="39">
                        <c:v>-1.4175117217315458E-3</c:v>
                      </c:pt>
                      <c:pt idx="40">
                        <c:v>-1.0264249836208772E-2</c:v>
                      </c:pt>
                      <c:pt idx="41">
                        <c:v>1.9858781994703811E-3</c:v>
                      </c:pt>
                      <c:pt idx="42">
                        <c:v>1.3157894736842257E-2</c:v>
                      </c:pt>
                      <c:pt idx="43">
                        <c:v>-5.5425745802315518E-3</c:v>
                      </c:pt>
                      <c:pt idx="44">
                        <c:v>1.2185126495819931E-2</c:v>
                      </c:pt>
                      <c:pt idx="45">
                        <c:v>-3.7788814510919533E-4</c:v>
                      </c:pt>
                      <c:pt idx="46">
                        <c:v>6.8585624021171299E-3</c:v>
                      </c:pt>
                      <c:pt idx="47">
                        <c:v>2.5745548165629906E-3</c:v>
                      </c:pt>
                      <c:pt idx="48">
                        <c:v>-1.5514658677509008E-3</c:v>
                      </c:pt>
                      <c:pt idx="49">
                        <c:v>7.7693832717142808E-3</c:v>
                      </c:pt>
                      <c:pt idx="50">
                        <c:v>-2.9774564015312421E-3</c:v>
                      </c:pt>
                      <c:pt idx="51">
                        <c:v>3.3596416382253302E-3</c:v>
                      </c:pt>
                      <c:pt idx="52">
                        <c:v>6.6436353972894047E-3</c:v>
                      </c:pt>
                      <c:pt idx="53">
                        <c:v>8.9757127771910028E-3</c:v>
                      </c:pt>
                      <c:pt idx="54">
                        <c:v>-4.7095761381477086E-4</c:v>
                      </c:pt>
                      <c:pt idx="55">
                        <c:v>5.7588607926284396E-4</c:v>
                      </c:pt>
                      <c:pt idx="56">
                        <c:v>-3.4010046044370412E-3</c:v>
                      </c:pt>
                      <c:pt idx="57">
                        <c:v>-1.0447839554785565E-2</c:v>
                      </c:pt>
                      <c:pt idx="58">
                        <c:v>-1.6924872665534774E-2</c:v>
                      </c:pt>
                      <c:pt idx="59">
                        <c:v>1.1819310270386962E-2</c:v>
                      </c:pt>
                      <c:pt idx="60">
                        <c:v>-4.3204608491572705E-3</c:v>
                      </c:pt>
                      <c:pt idx="61">
                        <c:v>-7.9284298494669558E-3</c:v>
                      </c:pt>
                      <c:pt idx="62">
                        <c:v>-1.268967006857824E-2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370-44E2-BD45-10DB5CDE9B8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Services'!$C$14:$BM$14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9.6623605788856981E-3</c:v>
                      </c:pt>
                      <c:pt idx="2">
                        <c:v>3.70405391746087E-3</c:v>
                      </c:pt>
                      <c:pt idx="3">
                        <c:v>-1.1857309462782739E-3</c:v>
                      </c:pt>
                      <c:pt idx="4">
                        <c:v>7.0252584059171674E-4</c:v>
                      </c:pt>
                      <c:pt idx="5">
                        <c:v>2.7301269509030224E-3</c:v>
                      </c:pt>
                      <c:pt idx="6">
                        <c:v>2.5606285532773221E-3</c:v>
                      </c:pt>
                      <c:pt idx="7">
                        <c:v>-1.9624452002533488E-3</c:v>
                      </c:pt>
                      <c:pt idx="8">
                        <c:v>1.5646207819215441E-3</c:v>
                      </c:pt>
                      <c:pt idx="9">
                        <c:v>7.1155040364301314E-4</c:v>
                      </c:pt>
                      <c:pt idx="10">
                        <c:v>8.3709325024883263E-4</c:v>
                      </c:pt>
                      <c:pt idx="11">
                        <c:v>7.6954624866387711E-3</c:v>
                      </c:pt>
                      <c:pt idx="12">
                        <c:v>5.0313094864229413E-4</c:v>
                      </c:pt>
                      <c:pt idx="13">
                        <c:v>-5.9256317203881803E-4</c:v>
                      </c:pt>
                      <c:pt idx="14">
                        <c:v>-3.7561935529359936E-3</c:v>
                      </c:pt>
                      <c:pt idx="15">
                        <c:v>-1.5827773238195064E-3</c:v>
                      </c:pt>
                      <c:pt idx="16">
                        <c:v>2.1749357185665286E-3</c:v>
                      </c:pt>
                      <c:pt idx="17">
                        <c:v>7.5073385439943241E-3</c:v>
                      </c:pt>
                      <c:pt idx="18">
                        <c:v>2.1955297992111156E-3</c:v>
                      </c:pt>
                      <c:pt idx="19">
                        <c:v>4.1744679225097503E-3</c:v>
                      </c:pt>
                      <c:pt idx="20">
                        <c:v>-4.0112505271703291E-3</c:v>
                      </c:pt>
                      <c:pt idx="21">
                        <c:v>-8.6310641901572449E-3</c:v>
                      </c:pt>
                      <c:pt idx="22">
                        <c:v>-6.6380420505672832E-3</c:v>
                      </c:pt>
                      <c:pt idx="23">
                        <c:v>6.323548428811776E-3</c:v>
                      </c:pt>
                      <c:pt idx="24">
                        <c:v>1.500276282141666E-3</c:v>
                      </c:pt>
                      <c:pt idx="25">
                        <c:v>9.1357303933048417E-3</c:v>
                      </c:pt>
                      <c:pt idx="26">
                        <c:v>-3.1628368262283102E-3</c:v>
                      </c:pt>
                      <c:pt idx="27">
                        <c:v>-1.0969527672547441E-3</c:v>
                      </c:pt>
                      <c:pt idx="28">
                        <c:v>2.9082017034209873E-3</c:v>
                      </c:pt>
                      <c:pt idx="29">
                        <c:v>8.5751663945150547E-3</c:v>
                      </c:pt>
                      <c:pt idx="30">
                        <c:v>7.258794976916505E-5</c:v>
                      </c:pt>
                      <c:pt idx="31">
                        <c:v>7.1478162080280683E-3</c:v>
                      </c:pt>
                      <c:pt idx="32">
                        <c:v>3.3527080167328194E-4</c:v>
                      </c:pt>
                      <c:pt idx="33">
                        <c:v>-4.3226040870536497E-4</c:v>
                      </c:pt>
                      <c:pt idx="34">
                        <c:v>4.4592214694434418E-3</c:v>
                      </c:pt>
                      <c:pt idx="35">
                        <c:v>4.9448269622538454E-3</c:v>
                      </c:pt>
                      <c:pt idx="36">
                        <c:v>8.6613146571812294E-4</c:v>
                      </c:pt>
                      <c:pt idx="37">
                        <c:v>-1.9540882317370389E-4</c:v>
                      </c:pt>
                      <c:pt idx="38">
                        <c:v>5.1281573999961694E-3</c:v>
                      </c:pt>
                      <c:pt idx="39">
                        <c:v>3.3951560382883272E-5</c:v>
                      </c:pt>
                      <c:pt idx="40">
                        <c:v>-5.7808285134042237E-3</c:v>
                      </c:pt>
                      <c:pt idx="41">
                        <c:v>2.9460247292234509E-3</c:v>
                      </c:pt>
                      <c:pt idx="42">
                        <c:v>8.3787815945375321E-3</c:v>
                      </c:pt>
                      <c:pt idx="43">
                        <c:v>-7.059870773669763E-3</c:v>
                      </c:pt>
                      <c:pt idx="44">
                        <c:v>3.5333941295578875E-3</c:v>
                      </c:pt>
                      <c:pt idx="45">
                        <c:v>-2.8032085956850583E-3</c:v>
                      </c:pt>
                      <c:pt idx="46">
                        <c:v>4.9024150649641385E-3</c:v>
                      </c:pt>
                      <c:pt idx="47">
                        <c:v>6.6552927252885308E-3</c:v>
                      </c:pt>
                      <c:pt idx="48">
                        <c:v>-2.8552233792408233E-3</c:v>
                      </c:pt>
                      <c:pt idx="49">
                        <c:v>6.9762812562206289E-3</c:v>
                      </c:pt>
                      <c:pt idx="50">
                        <c:v>-1.5145386587512855E-3</c:v>
                      </c:pt>
                      <c:pt idx="51">
                        <c:v>1.870155186330269E-3</c:v>
                      </c:pt>
                      <c:pt idx="52">
                        <c:v>8.3665471879950104E-3</c:v>
                      </c:pt>
                      <c:pt idx="53">
                        <c:v>3.862144651035182E-3</c:v>
                      </c:pt>
                      <c:pt idx="54">
                        <c:v>-2.6519542770646609E-3</c:v>
                      </c:pt>
                      <c:pt idx="55">
                        <c:v>2.8908783753256451E-4</c:v>
                      </c:pt>
                      <c:pt idx="56">
                        <c:v>1.1409648528637462E-3</c:v>
                      </c:pt>
                      <c:pt idx="57">
                        <c:v>-9.0421405245464381E-3</c:v>
                      </c:pt>
                      <c:pt idx="58">
                        <c:v>-1.5730684849202037E-2</c:v>
                      </c:pt>
                      <c:pt idx="59">
                        <c:v>1.0053551114029613E-2</c:v>
                      </c:pt>
                      <c:pt idx="60">
                        <c:v>-8.6684736160957954E-4</c:v>
                      </c:pt>
                      <c:pt idx="61">
                        <c:v>3.1343557157694768E-3</c:v>
                      </c:pt>
                      <c:pt idx="62">
                        <c:v>-1.7705852615678808E-2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370-44E2-BD45-10DB5CDE9B81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Services'!$B$23</c15:sqref>
                        </c15:formulaRef>
                      </c:ext>
                    </c:extLst>
                    <c:strCache>
                      <c:ptCount val="1"/>
                      <c:pt idx="0">
                        <c:v>S&amp;P 500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Services'!$C$23:$BM$23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1.0096623605788857</c:v>
                      </c:pt>
                      <c:pt idx="2">
                        <c:v>1.0134022044009008</c:v>
                      </c:pt>
                      <c:pt idx="3">
                        <c:v>1.012200582046116</c:v>
                      </c:pt>
                      <c:pt idx="4">
                        <c:v>1.0129116791108654</c:v>
                      </c:pt>
                      <c:pt idx="5">
                        <c:v>1.0156770565848905</c:v>
                      </c:pt>
                      <c:pt idx="6">
                        <c:v>1.0182778282568905</c:v>
                      </c:pt>
                      <c:pt idx="7">
                        <c:v>1.0162795138203033</c:v>
                      </c:pt>
                      <c:pt idx="8">
                        <c:v>1.0178696058678678</c:v>
                      </c:pt>
                      <c:pt idx="9">
                        <c:v>1.018593871396779</c:v>
                      </c:pt>
                      <c:pt idx="10">
                        <c:v>1.01944652945127</c:v>
                      </c:pt>
                      <c:pt idx="11">
                        <c:v>1.0272916419757963</c:v>
                      </c:pt>
                      <c:pt idx="12">
                        <c:v>1.0278085041941558</c:v>
                      </c:pt>
                      <c:pt idx="13">
                        <c:v>1.0271994627266621</c:v>
                      </c:pt>
                      <c:pt idx="14">
                        <c:v>1.0233411027271888</c:v>
                      </c:pt>
                      <c:pt idx="15">
                        <c:v>1.0217213816352597</c:v>
                      </c:pt>
                      <c:pt idx="16">
                        <c:v>1.0239435599626014</c:v>
                      </c:pt>
                      <c:pt idx="17">
                        <c:v>1.0316306509171835</c:v>
                      </c:pt>
                      <c:pt idx="18">
                        <c:v>1.0338956267530517</c:v>
                      </c:pt>
                      <c:pt idx="19">
                        <c:v>1.0382115908821554</c:v>
                      </c:pt>
                      <c:pt idx="20">
                        <c:v>1.034047064090915</c:v>
                      </c:pt>
                      <c:pt idx="21">
                        <c:v>1.0251221375051027</c:v>
                      </c:pt>
                      <c:pt idx="22">
                        <c:v>1.0183173336493765</c:v>
                      </c:pt>
                      <c:pt idx="23">
                        <c:v>1.0247567126246069</c:v>
                      </c:pt>
                      <c:pt idx="24">
                        <c:v>1.0262941308155231</c:v>
                      </c:pt>
                      <c:pt idx="25">
                        <c:v>1.0356700772988849</c:v>
                      </c:pt>
                      <c:pt idx="26">
                        <c:v>1.0323944218385812</c:v>
                      </c:pt>
                      <c:pt idx="27">
                        <c:v>1.031261933920647</c:v>
                      </c:pt>
                      <c:pt idx="28">
                        <c:v>1.0342610516335482</c:v>
                      </c:pt>
                      <c:pt idx="29">
                        <c:v>1.043130012246672</c:v>
                      </c:pt>
                      <c:pt idx="30">
                        <c:v>1.0432057309156038</c:v>
                      </c:pt>
                      <c:pt idx="31">
                        <c:v>1.0506623737473502</c:v>
                      </c:pt>
                      <c:pt idx="32">
                        <c:v>1.0510146301636845</c:v>
                      </c:pt>
                      <c:pt idx="33">
                        <c:v>1.0505603181500947</c:v>
                      </c:pt>
                      <c:pt idx="34">
                        <c:v>1.0552449992757349</c:v>
                      </c:pt>
                      <c:pt idx="35">
                        <c:v>1.0604630031999371</c:v>
                      </c:pt>
                      <c:pt idx="36">
                        <c:v>1.0613815035752385</c:v>
                      </c:pt>
                      <c:pt idx="37">
                        <c:v>1.0611741002646866</c:v>
                      </c:pt>
                      <c:pt idx="38">
                        <c:v>1.0666159680796432</c:v>
                      </c:pt>
                      <c:pt idx="39">
                        <c:v>1.0666521813560887</c:v>
                      </c:pt>
                      <c:pt idx="40">
                        <c:v>1.0604860480122207</c:v>
                      </c:pt>
                      <c:pt idx="41">
                        <c:v>1.0636102661346611</c:v>
                      </c:pt>
                      <c:pt idx="42">
                        <c:v>1.0725220242563114</c:v>
                      </c:pt>
                      <c:pt idx="43">
                        <c:v>1.064950157363147</c:v>
                      </c:pt>
                      <c:pt idx="44">
                        <c:v>1.0687130459974457</c:v>
                      </c:pt>
                      <c:pt idx="45">
                        <c:v>1.0657172204005849</c:v>
                      </c:pt>
                      <c:pt idx="46">
                        <c:v>1.0709418085568685</c:v>
                      </c:pt>
                      <c:pt idx="47">
                        <c:v>1.0780692397845644</c:v>
                      </c:pt>
                      <c:pt idx="48">
                        <c:v>1.074991111286691</c:v>
                      </c:pt>
                      <c:pt idx="49">
                        <c:v>1.0824905516269641</c:v>
                      </c:pt>
                      <c:pt idx="50">
                        <c:v>1.0808510778387921</c:v>
                      </c:pt>
                      <c:pt idx="51">
                        <c:v>1.082872437087663</c:v>
                      </c:pt>
                      <c:pt idx="52">
                        <c:v>1.0919323404311361</c:v>
                      </c:pt>
                      <c:pt idx="53">
                        <c:v>1.0961495410790245</c:v>
                      </c:pt>
                      <c:pt idx="54">
                        <c:v>1.0932426026152575</c:v>
                      </c:pt>
                      <c:pt idx="55">
                        <c:v>1.0935586457551461</c:v>
                      </c:pt>
                      <c:pt idx="56">
                        <c:v>1.094806357734498</c:v>
                      </c:pt>
                      <c:pt idx="57">
                        <c:v>1.0849069648006957</c:v>
                      </c:pt>
                      <c:pt idx="58">
                        <c:v>1.0678406352467116</c:v>
                      </c:pt>
                      <c:pt idx="59">
                        <c:v>1.0785762256548022</c:v>
                      </c:pt>
                      <c:pt idx="60">
                        <c:v>1.0776412646992986</c:v>
                      </c:pt>
                      <c:pt idx="61">
                        <c:v>1.0810189757568578</c:v>
                      </c:pt>
                      <c:pt idx="62">
                        <c:v>1.0618786130973548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370-44E2-BD45-10DB5CDE9B81}"/>
                  </c:ext>
                </c:extLst>
              </c15:ser>
            </c15:filteredLineSeries>
          </c:ext>
        </c:extLst>
      </c:lineChart>
      <c:dateAx>
        <c:axId val="10109593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43928"/>
        <c:crosses val="autoZero"/>
        <c:auto val="1"/>
        <c:lblOffset val="100"/>
        <c:baseTimeUnit val="days"/>
        <c:majorUnit val="13"/>
        <c:majorTimeUnit val="days"/>
      </c:dateAx>
      <c:valAx>
        <c:axId val="1010943928"/>
        <c:scaling>
          <c:orientation val="minMax"/>
          <c:min val="0.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  <a:r>
              <a:rPr lang="en-US" baseline="0"/>
              <a:t> Services vs S&amp;P 500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'Communication Services'!$B$3</c:f>
              <c:strCache>
                <c:ptCount val="1"/>
                <c:pt idx="0">
                  <c:v>COMMUNICATION SERVICES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Services'!$C$3:$BM$3</c:f>
              <c:numCache>
                <c:formatCode>0.00</c:formatCode>
                <c:ptCount val="63"/>
                <c:pt idx="0">
                  <c:v>99994.18</c:v>
                </c:pt>
                <c:pt idx="1">
                  <c:v>100898.47</c:v>
                </c:pt>
                <c:pt idx="2">
                  <c:v>101111.13</c:v>
                </c:pt>
                <c:pt idx="3">
                  <c:v>100593.94</c:v>
                </c:pt>
                <c:pt idx="4">
                  <c:v>100248.51</c:v>
                </c:pt>
                <c:pt idx="5">
                  <c:v>100662.13</c:v>
                </c:pt>
                <c:pt idx="6">
                  <c:v>101155.6</c:v>
                </c:pt>
                <c:pt idx="7">
                  <c:v>100102.91</c:v>
                </c:pt>
                <c:pt idx="8">
                  <c:v>100548.23000000001</c:v>
                </c:pt>
                <c:pt idx="9">
                  <c:v>101701.05</c:v>
                </c:pt>
                <c:pt idx="10">
                  <c:v>101963.77000000002</c:v>
                </c:pt>
                <c:pt idx="11">
                  <c:v>102890.17</c:v>
                </c:pt>
                <c:pt idx="12">
                  <c:v>103156.61000000002</c:v>
                </c:pt>
                <c:pt idx="13">
                  <c:v>103116.75</c:v>
                </c:pt>
                <c:pt idx="14">
                  <c:v>102303.465</c:v>
                </c:pt>
                <c:pt idx="15">
                  <c:v>102241.23</c:v>
                </c:pt>
                <c:pt idx="16">
                  <c:v>102183.95000000001</c:v>
                </c:pt>
                <c:pt idx="17">
                  <c:v>102687.6</c:v>
                </c:pt>
                <c:pt idx="18">
                  <c:v>103317.45</c:v>
                </c:pt>
                <c:pt idx="19">
                  <c:v>103710.39</c:v>
                </c:pt>
                <c:pt idx="20">
                  <c:v>103571.28</c:v>
                </c:pt>
                <c:pt idx="21">
                  <c:v>102415.85</c:v>
                </c:pt>
                <c:pt idx="22">
                  <c:v>102356.01999999999</c:v>
                </c:pt>
                <c:pt idx="23">
                  <c:v>102776.44</c:v>
                </c:pt>
                <c:pt idx="24">
                  <c:v>103274.68000000001</c:v>
                </c:pt>
                <c:pt idx="25">
                  <c:v>103782.92000000001</c:v>
                </c:pt>
                <c:pt idx="26">
                  <c:v>103459.51000000001</c:v>
                </c:pt>
                <c:pt idx="27">
                  <c:v>103882.47</c:v>
                </c:pt>
                <c:pt idx="28">
                  <c:v>104459.31000000001</c:v>
                </c:pt>
                <c:pt idx="29">
                  <c:v>104677.7</c:v>
                </c:pt>
                <c:pt idx="30">
                  <c:v>104642.18</c:v>
                </c:pt>
                <c:pt idx="31">
                  <c:v>105732.1</c:v>
                </c:pt>
                <c:pt idx="32">
                  <c:v>105251.06</c:v>
                </c:pt>
                <c:pt idx="33">
                  <c:v>105736.78999999998</c:v>
                </c:pt>
                <c:pt idx="34">
                  <c:v>107218.09000000001</c:v>
                </c:pt>
                <c:pt idx="35">
                  <c:v>107674.49</c:v>
                </c:pt>
                <c:pt idx="36">
                  <c:v>107335.89</c:v>
                </c:pt>
                <c:pt idx="37">
                  <c:v>107220.39</c:v>
                </c:pt>
                <c:pt idx="38">
                  <c:v>108275.08</c:v>
                </c:pt>
                <c:pt idx="39">
                  <c:v>108466.545</c:v>
                </c:pt>
                <c:pt idx="40">
                  <c:v>107216.76000000001</c:v>
                </c:pt>
                <c:pt idx="41">
                  <c:v>107416.22</c:v>
                </c:pt>
                <c:pt idx="42">
                  <c:v>109029.31</c:v>
                </c:pt>
                <c:pt idx="43">
                  <c:v>108596.97</c:v>
                </c:pt>
                <c:pt idx="44">
                  <c:v>110072.54</c:v>
                </c:pt>
                <c:pt idx="45">
                  <c:v>110184.745</c:v>
                </c:pt>
                <c:pt idx="46">
                  <c:v>110702.29000000001</c:v>
                </c:pt>
                <c:pt idx="47">
                  <c:v>111112.29999999999</c:v>
                </c:pt>
                <c:pt idx="48">
                  <c:v>111322.92000000001</c:v>
                </c:pt>
                <c:pt idx="49">
                  <c:v>112225.83</c:v>
                </c:pt>
                <c:pt idx="50">
                  <c:v>112099.35</c:v>
                </c:pt>
                <c:pt idx="51">
                  <c:v>112459.61</c:v>
                </c:pt>
                <c:pt idx="52">
                  <c:v>113328.44000000002</c:v>
                </c:pt>
                <c:pt idx="53">
                  <c:v>114051.91</c:v>
                </c:pt>
                <c:pt idx="54">
                  <c:v>113828.23</c:v>
                </c:pt>
                <c:pt idx="55">
                  <c:v>113723.38</c:v>
                </c:pt>
                <c:pt idx="56">
                  <c:v>113040.17</c:v>
                </c:pt>
                <c:pt idx="57">
                  <c:v>111505.95</c:v>
                </c:pt>
                <c:pt idx="58">
                  <c:v>109372.86</c:v>
                </c:pt>
                <c:pt idx="59">
                  <c:v>110874.28</c:v>
                </c:pt>
                <c:pt idx="60">
                  <c:v>110568.29</c:v>
                </c:pt>
                <c:pt idx="61">
                  <c:v>109520.72</c:v>
                </c:pt>
                <c:pt idx="62">
                  <c:v>107261.85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A-4C7B-9B0E-DCA6D1F88424}"/>
            </c:ext>
          </c:extLst>
        </c:ser>
        <c:ser>
          <c:idx val="1"/>
          <c:order val="1"/>
          <c:tx>
            <c:strRef>
              <c:f>'Communication Services'!$B$4</c:f>
              <c:strCache>
                <c:ptCount val="1"/>
                <c:pt idx="0">
                  <c:v>S5TELS INDEX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Services'!$C$4:$BM$4</c:f>
              <c:numCache>
                <c:formatCode>General</c:formatCode>
                <c:ptCount val="63"/>
                <c:pt idx="0">
                  <c:v>171.82</c:v>
                </c:pt>
                <c:pt idx="1">
                  <c:v>173.25</c:v>
                </c:pt>
                <c:pt idx="2">
                  <c:v>173.95</c:v>
                </c:pt>
                <c:pt idx="3">
                  <c:v>173.83</c:v>
                </c:pt>
                <c:pt idx="4">
                  <c:v>173.48</c:v>
                </c:pt>
                <c:pt idx="5">
                  <c:v>174.64</c:v>
                </c:pt>
                <c:pt idx="6">
                  <c:v>175.28</c:v>
                </c:pt>
                <c:pt idx="7">
                  <c:v>174.59</c:v>
                </c:pt>
                <c:pt idx="8">
                  <c:v>175.11</c:v>
                </c:pt>
                <c:pt idx="9">
                  <c:v>175.85</c:v>
                </c:pt>
                <c:pt idx="10">
                  <c:v>176.38</c:v>
                </c:pt>
                <c:pt idx="11">
                  <c:v>177.63</c:v>
                </c:pt>
                <c:pt idx="12">
                  <c:v>178.12</c:v>
                </c:pt>
                <c:pt idx="13">
                  <c:v>177.66</c:v>
                </c:pt>
                <c:pt idx="14">
                  <c:v>176.25</c:v>
                </c:pt>
                <c:pt idx="15">
                  <c:v>176.69</c:v>
                </c:pt>
                <c:pt idx="16">
                  <c:v>176.92</c:v>
                </c:pt>
                <c:pt idx="17">
                  <c:v>177.13</c:v>
                </c:pt>
                <c:pt idx="18">
                  <c:v>177.77</c:v>
                </c:pt>
                <c:pt idx="19">
                  <c:v>178.89</c:v>
                </c:pt>
                <c:pt idx="20">
                  <c:v>178.24</c:v>
                </c:pt>
                <c:pt idx="21">
                  <c:v>176.69</c:v>
                </c:pt>
                <c:pt idx="22">
                  <c:v>176.54</c:v>
                </c:pt>
                <c:pt idx="23">
                  <c:v>177.67</c:v>
                </c:pt>
                <c:pt idx="24">
                  <c:v>178.36</c:v>
                </c:pt>
                <c:pt idx="25">
                  <c:v>179.48</c:v>
                </c:pt>
                <c:pt idx="26">
                  <c:v>178.96</c:v>
                </c:pt>
                <c:pt idx="27">
                  <c:v>178.32</c:v>
                </c:pt>
                <c:pt idx="28">
                  <c:v>178.86</c:v>
                </c:pt>
                <c:pt idx="29">
                  <c:v>178.85</c:v>
                </c:pt>
                <c:pt idx="30">
                  <c:v>178.27</c:v>
                </c:pt>
                <c:pt idx="31">
                  <c:v>180.12</c:v>
                </c:pt>
                <c:pt idx="32">
                  <c:v>180.14</c:v>
                </c:pt>
                <c:pt idx="33">
                  <c:v>180.67</c:v>
                </c:pt>
                <c:pt idx="34">
                  <c:v>182.1</c:v>
                </c:pt>
                <c:pt idx="35">
                  <c:v>182.8</c:v>
                </c:pt>
                <c:pt idx="36">
                  <c:v>182.18</c:v>
                </c:pt>
                <c:pt idx="37">
                  <c:v>181.94</c:v>
                </c:pt>
                <c:pt idx="38">
                  <c:v>183.42</c:v>
                </c:pt>
                <c:pt idx="39">
                  <c:v>183.16</c:v>
                </c:pt>
                <c:pt idx="40">
                  <c:v>181.28</c:v>
                </c:pt>
                <c:pt idx="41">
                  <c:v>181.64</c:v>
                </c:pt>
                <c:pt idx="42">
                  <c:v>184.03</c:v>
                </c:pt>
                <c:pt idx="43">
                  <c:v>183.01</c:v>
                </c:pt>
                <c:pt idx="44">
                  <c:v>185.24</c:v>
                </c:pt>
                <c:pt idx="45">
                  <c:v>185.17</c:v>
                </c:pt>
                <c:pt idx="46">
                  <c:v>186.44</c:v>
                </c:pt>
                <c:pt idx="47">
                  <c:v>186.92</c:v>
                </c:pt>
                <c:pt idx="48">
                  <c:v>186.63</c:v>
                </c:pt>
                <c:pt idx="49">
                  <c:v>188.08</c:v>
                </c:pt>
                <c:pt idx="50">
                  <c:v>187.52</c:v>
                </c:pt>
                <c:pt idx="51">
                  <c:v>188.15</c:v>
                </c:pt>
                <c:pt idx="52">
                  <c:v>189.4</c:v>
                </c:pt>
                <c:pt idx="53">
                  <c:v>191.1</c:v>
                </c:pt>
                <c:pt idx="54">
                  <c:v>191.01</c:v>
                </c:pt>
                <c:pt idx="55">
                  <c:v>191.12</c:v>
                </c:pt>
                <c:pt idx="56">
                  <c:v>190.47</c:v>
                </c:pt>
                <c:pt idx="57">
                  <c:v>188.48</c:v>
                </c:pt>
                <c:pt idx="58">
                  <c:v>185.29</c:v>
                </c:pt>
                <c:pt idx="59">
                  <c:v>187.48</c:v>
                </c:pt>
                <c:pt idx="60">
                  <c:v>186.67</c:v>
                </c:pt>
                <c:pt idx="61">
                  <c:v>185.19</c:v>
                </c:pt>
                <c:pt idx="62">
                  <c:v>182.84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A-4C7B-9B0E-DCA6D1F88424}"/>
            </c:ext>
          </c:extLst>
        </c:ser>
        <c:ser>
          <c:idx val="2"/>
          <c:order val="2"/>
          <c:tx>
            <c:strRef>
              <c:f>'Communication Services'!$B$5</c:f>
              <c:strCache>
                <c:ptCount val="1"/>
                <c:pt idx="0">
                  <c:v>SPX INDEX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Services'!$C$5:$BM$5</c:f>
              <c:numCache>
                <c:formatCode>General</c:formatCode>
                <c:ptCount val="63"/>
                <c:pt idx="0">
                  <c:v>3037.56</c:v>
                </c:pt>
                <c:pt idx="1">
                  <c:v>3066.91</c:v>
                </c:pt>
                <c:pt idx="2">
                  <c:v>3078.27</c:v>
                </c:pt>
                <c:pt idx="3">
                  <c:v>3074.62</c:v>
                </c:pt>
                <c:pt idx="4">
                  <c:v>3076.78</c:v>
                </c:pt>
                <c:pt idx="5">
                  <c:v>3085.18</c:v>
                </c:pt>
                <c:pt idx="6">
                  <c:v>3093.08</c:v>
                </c:pt>
                <c:pt idx="7">
                  <c:v>3087.01</c:v>
                </c:pt>
                <c:pt idx="8">
                  <c:v>3091.84</c:v>
                </c:pt>
                <c:pt idx="9">
                  <c:v>3094.04</c:v>
                </c:pt>
                <c:pt idx="10">
                  <c:v>3096.63</c:v>
                </c:pt>
                <c:pt idx="11">
                  <c:v>3120.46</c:v>
                </c:pt>
                <c:pt idx="12">
                  <c:v>3122.03</c:v>
                </c:pt>
                <c:pt idx="13">
                  <c:v>3120.18</c:v>
                </c:pt>
                <c:pt idx="14">
                  <c:v>3108.46</c:v>
                </c:pt>
                <c:pt idx="15">
                  <c:v>3103.54</c:v>
                </c:pt>
                <c:pt idx="16">
                  <c:v>3110.29</c:v>
                </c:pt>
                <c:pt idx="17">
                  <c:v>3133.64</c:v>
                </c:pt>
                <c:pt idx="18">
                  <c:v>3140.52</c:v>
                </c:pt>
                <c:pt idx="19">
                  <c:v>3153.63</c:v>
                </c:pt>
                <c:pt idx="20">
                  <c:v>3140.98</c:v>
                </c:pt>
                <c:pt idx="21">
                  <c:v>3113.87</c:v>
                </c:pt>
                <c:pt idx="22">
                  <c:v>3093.2</c:v>
                </c:pt>
                <c:pt idx="23">
                  <c:v>3112.76</c:v>
                </c:pt>
                <c:pt idx="24">
                  <c:v>3117.43</c:v>
                </c:pt>
                <c:pt idx="25">
                  <c:v>3145.91</c:v>
                </c:pt>
                <c:pt idx="26">
                  <c:v>3135.96</c:v>
                </c:pt>
                <c:pt idx="27">
                  <c:v>3132.52</c:v>
                </c:pt>
                <c:pt idx="28">
                  <c:v>3141.63</c:v>
                </c:pt>
                <c:pt idx="29">
                  <c:v>3168.57</c:v>
                </c:pt>
                <c:pt idx="30">
                  <c:v>3168.8</c:v>
                </c:pt>
                <c:pt idx="31">
                  <c:v>3191.45</c:v>
                </c:pt>
                <c:pt idx="32">
                  <c:v>3192.52</c:v>
                </c:pt>
                <c:pt idx="33">
                  <c:v>3191.14</c:v>
                </c:pt>
                <c:pt idx="34">
                  <c:v>3205.37</c:v>
                </c:pt>
                <c:pt idx="35">
                  <c:v>3221.22</c:v>
                </c:pt>
                <c:pt idx="36">
                  <c:v>3224.01</c:v>
                </c:pt>
                <c:pt idx="37">
                  <c:v>3223.38</c:v>
                </c:pt>
                <c:pt idx="38">
                  <c:v>3239.91</c:v>
                </c:pt>
                <c:pt idx="39">
                  <c:v>3240.02</c:v>
                </c:pt>
                <c:pt idx="40">
                  <c:v>3221.29</c:v>
                </c:pt>
                <c:pt idx="41">
                  <c:v>3230.78</c:v>
                </c:pt>
                <c:pt idx="42">
                  <c:v>3257.85</c:v>
                </c:pt>
                <c:pt idx="43">
                  <c:v>3234.85</c:v>
                </c:pt>
                <c:pt idx="44">
                  <c:v>3246.28</c:v>
                </c:pt>
                <c:pt idx="45">
                  <c:v>3237.18</c:v>
                </c:pt>
                <c:pt idx="46">
                  <c:v>3253.05</c:v>
                </c:pt>
                <c:pt idx="47">
                  <c:v>3274.7</c:v>
                </c:pt>
                <c:pt idx="48">
                  <c:v>3265.35</c:v>
                </c:pt>
                <c:pt idx="49">
                  <c:v>3288.13</c:v>
                </c:pt>
                <c:pt idx="50">
                  <c:v>3283.15</c:v>
                </c:pt>
                <c:pt idx="51">
                  <c:v>3289.29</c:v>
                </c:pt>
                <c:pt idx="52">
                  <c:v>3316.81</c:v>
                </c:pt>
                <c:pt idx="53">
                  <c:v>3329.62</c:v>
                </c:pt>
                <c:pt idx="54">
                  <c:v>3320.79</c:v>
                </c:pt>
                <c:pt idx="55">
                  <c:v>3321.75</c:v>
                </c:pt>
                <c:pt idx="56">
                  <c:v>3325.54</c:v>
                </c:pt>
                <c:pt idx="57">
                  <c:v>3295.47</c:v>
                </c:pt>
                <c:pt idx="58">
                  <c:v>3243.63</c:v>
                </c:pt>
                <c:pt idx="59">
                  <c:v>3276.24</c:v>
                </c:pt>
                <c:pt idx="60">
                  <c:v>3273.4</c:v>
                </c:pt>
                <c:pt idx="61">
                  <c:v>3283.66</c:v>
                </c:pt>
                <c:pt idx="62">
                  <c:v>3225.52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A-4C7B-9B0E-DCA6D1F88424}"/>
            </c:ext>
          </c:extLst>
        </c:ser>
        <c:ser>
          <c:idx val="3"/>
          <c:order val="3"/>
          <c:tx>
            <c:strRef>
              <c:f>'Communication Services'!$B$12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Services'!$C$12:$BM$12</c:f>
              <c:numCache>
                <c:formatCode>General</c:formatCode>
                <c:ptCount val="63"/>
                <c:pt idx="1">
                  <c:v>9.043426327412396E-3</c:v>
                </c:pt>
                <c:pt idx="2">
                  <c:v>2.1076632777483617E-3</c:v>
                </c:pt>
                <c:pt idx="3">
                  <c:v>-5.1150649785043356E-3</c:v>
                </c:pt>
                <c:pt idx="4">
                  <c:v>-3.4339046666231887E-3</c:v>
                </c:pt>
                <c:pt idx="5">
                  <c:v>4.1259466100793674E-3</c:v>
                </c:pt>
                <c:pt idx="6">
                  <c:v>4.9022407930370271E-3</c:v>
                </c:pt>
                <c:pt idx="7">
                  <c:v>-1.0406640858242167E-2</c:v>
                </c:pt>
                <c:pt idx="8">
                  <c:v>4.4486219231789637E-3</c:v>
                </c:pt>
                <c:pt idx="9">
                  <c:v>1.1465343547071738E-2</c:v>
                </c:pt>
                <c:pt idx="10">
                  <c:v>2.5832574983248868E-3</c:v>
                </c:pt>
                <c:pt idx="11">
                  <c:v>9.0855801035993888E-3</c:v>
                </c:pt>
                <c:pt idx="12">
                  <c:v>2.5895573892045221E-3</c:v>
                </c:pt>
                <c:pt idx="13">
                  <c:v>-3.864027714755025E-4</c:v>
                </c:pt>
                <c:pt idx="14">
                  <c:v>-7.8870309624770041E-3</c:v>
                </c:pt>
                <c:pt idx="15">
                  <c:v>-6.0833716629249412E-4</c:v>
                </c:pt>
                <c:pt idx="16">
                  <c:v>-5.6024365121565278E-4</c:v>
                </c:pt>
                <c:pt idx="17">
                  <c:v>4.928856244057922E-3</c:v>
                </c:pt>
                <c:pt idx="18">
                  <c:v>6.1336519696633118E-3</c:v>
                </c:pt>
                <c:pt idx="19">
                  <c:v>3.8032297545089744E-3</c:v>
                </c:pt>
                <c:pt idx="20">
                  <c:v>-1.3413313748025235E-3</c:v>
                </c:pt>
                <c:pt idx="21">
                  <c:v>-1.1155891865003431E-2</c:v>
                </c:pt>
                <c:pt idx="22">
                  <c:v>-5.8418692028638919E-4</c:v>
                </c:pt>
                <c:pt idx="23">
                  <c:v>4.1074281708102234E-3</c:v>
                </c:pt>
                <c:pt idx="24">
                  <c:v>4.8478036406010006E-3</c:v>
                </c:pt>
                <c:pt idx="25">
                  <c:v>4.9212449750510867E-3</c:v>
                </c:pt>
                <c:pt idx="26">
                  <c:v>-3.1162160401730921E-3</c:v>
                </c:pt>
                <c:pt idx="27">
                  <c:v>4.0881693717667034E-3</c:v>
                </c:pt>
                <c:pt idx="28">
                  <c:v>5.5528136749156687E-3</c:v>
                </c:pt>
                <c:pt idx="29">
                  <c:v>2.0906705204157827E-3</c:v>
                </c:pt>
                <c:pt idx="30">
                  <c:v>-3.3932728747387841E-4</c:v>
                </c:pt>
                <c:pt idx="31">
                  <c:v>1.0415685147232345E-2</c:v>
                </c:pt>
                <c:pt idx="32">
                  <c:v>-4.5496117073244857E-3</c:v>
                </c:pt>
                <c:pt idx="33">
                  <c:v>4.6149653979730143E-3</c:v>
                </c:pt>
                <c:pt idx="34">
                  <c:v>1.4009315017034618E-2</c:v>
                </c:pt>
                <c:pt idx="35">
                  <c:v>4.2567443609562439E-3</c:v>
                </c:pt>
                <c:pt idx="36">
                  <c:v>-3.1446631416597315E-3</c:v>
                </c:pt>
                <c:pt idx="37">
                  <c:v>-1.0760613248746997E-3</c:v>
                </c:pt>
                <c:pt idx="38">
                  <c:v>9.8366551362105703E-3</c:v>
                </c:pt>
                <c:pt idx="39">
                  <c:v>1.7683200972928859E-3</c:v>
                </c:pt>
                <c:pt idx="40">
                  <c:v>-1.1522308560671712E-2</c:v>
                </c:pt>
                <c:pt idx="41">
                  <c:v>1.8603434761503834E-3</c:v>
                </c:pt>
                <c:pt idx="42">
                  <c:v>1.5017192003218938E-2</c:v>
                </c:pt>
                <c:pt idx="43">
                  <c:v>-3.9653557378286353E-3</c:v>
                </c:pt>
                <c:pt idx="44">
                  <c:v>1.3587579837632591E-2</c:v>
                </c:pt>
                <c:pt idx="45">
                  <c:v>1.0193732242391729E-3</c:v>
                </c:pt>
                <c:pt idx="46">
                  <c:v>4.697065823404234E-3</c:v>
                </c:pt>
                <c:pt idx="47">
                  <c:v>3.7037174208409684E-3</c:v>
                </c:pt>
                <c:pt idx="48">
                  <c:v>1.8955597175112082E-3</c:v>
                </c:pt>
                <c:pt idx="49">
                  <c:v>8.1107286801316292E-3</c:v>
                </c:pt>
                <c:pt idx="50">
                  <c:v>-1.1270132731474591E-3</c:v>
                </c:pt>
                <c:pt idx="51">
                  <c:v>3.2137563687923976E-3</c:v>
                </c:pt>
                <c:pt idx="52">
                  <c:v>7.7257070338410117E-3</c:v>
                </c:pt>
                <c:pt idx="53">
                  <c:v>6.3838344549698167E-3</c:v>
                </c:pt>
                <c:pt idx="54">
                  <c:v>-1.9612122234516915E-3</c:v>
                </c:pt>
                <c:pt idx="55">
                  <c:v>-9.2112475086358891E-4</c:v>
                </c:pt>
                <c:pt idx="56">
                  <c:v>-6.007647679835082E-3</c:v>
                </c:pt>
                <c:pt idx="57">
                  <c:v>-1.3572343353694505E-2</c:v>
                </c:pt>
                <c:pt idx="58">
                  <c:v>-1.9129831188380519E-2</c:v>
                </c:pt>
                <c:pt idx="59">
                  <c:v>1.3727537160498571E-2</c:v>
                </c:pt>
                <c:pt idx="60">
                  <c:v>-2.7597924423952147E-3</c:v>
                </c:pt>
                <c:pt idx="61">
                  <c:v>-9.4744162182484049E-3</c:v>
                </c:pt>
                <c:pt idx="62">
                  <c:v>-2.0625047023065557E-2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A-4C7B-9B0E-DCA6D1F88424}"/>
            </c:ext>
          </c:extLst>
        </c:ser>
        <c:ser>
          <c:idx val="4"/>
          <c:order val="4"/>
          <c:tx>
            <c:strRef>
              <c:f>'Communication Services'!$B$13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Services'!$C$13:$BM$13</c:f>
              <c:numCache>
                <c:formatCode>General</c:formatCode>
                <c:ptCount val="63"/>
                <c:pt idx="1">
                  <c:v>8.3226632522408472E-3</c:v>
                </c:pt>
                <c:pt idx="2">
                  <c:v>4.0404040404040664E-3</c:v>
                </c:pt>
                <c:pt idx="3">
                  <c:v>-6.8985340615101975E-4</c:v>
                </c:pt>
                <c:pt idx="4">
                  <c:v>-2.0134614278318752E-3</c:v>
                </c:pt>
                <c:pt idx="5">
                  <c:v>6.6866497578972339E-3</c:v>
                </c:pt>
                <c:pt idx="6">
                  <c:v>3.664681630783484E-3</c:v>
                </c:pt>
                <c:pt idx="7">
                  <c:v>-3.936558649018651E-3</c:v>
                </c:pt>
                <c:pt idx="8">
                  <c:v>2.9784065524944836E-3</c:v>
                </c:pt>
                <c:pt idx="9">
                  <c:v>4.2259151390553473E-3</c:v>
                </c:pt>
                <c:pt idx="10">
                  <c:v>3.0139323286892949E-3</c:v>
                </c:pt>
                <c:pt idx="11">
                  <c:v>7.0869713119401379E-3</c:v>
                </c:pt>
                <c:pt idx="12">
                  <c:v>2.7585430389012178E-3</c:v>
                </c:pt>
                <c:pt idx="13">
                  <c:v>-2.5825286323827301E-3</c:v>
                </c:pt>
                <c:pt idx="14">
                  <c:v>-7.9365079365079083E-3</c:v>
                </c:pt>
                <c:pt idx="15">
                  <c:v>2.4964539007092945E-3</c:v>
                </c:pt>
                <c:pt idx="16">
                  <c:v>1.3017148678475809E-3</c:v>
                </c:pt>
                <c:pt idx="17">
                  <c:v>1.186977164820302E-3</c:v>
                </c:pt>
                <c:pt idx="18">
                  <c:v>3.6131654716875516E-3</c:v>
                </c:pt>
                <c:pt idx="19">
                  <c:v>6.3002756370589275E-3</c:v>
                </c:pt>
                <c:pt idx="20">
                  <c:v>-3.6335178042371519E-3</c:v>
                </c:pt>
                <c:pt idx="21">
                  <c:v>-8.6961400359066854E-3</c:v>
                </c:pt>
                <c:pt idx="22">
                  <c:v>-8.4894447903105519E-4</c:v>
                </c:pt>
                <c:pt idx="23">
                  <c:v>6.4008156791661719E-3</c:v>
                </c:pt>
                <c:pt idx="24">
                  <c:v>3.8836044351888699E-3</c:v>
                </c:pt>
                <c:pt idx="25">
                  <c:v>6.2794348508632414E-3</c:v>
                </c:pt>
                <c:pt idx="26">
                  <c:v>-2.8972587474926925E-3</c:v>
                </c:pt>
                <c:pt idx="27">
                  <c:v>-3.5762181493071976E-3</c:v>
                </c:pt>
                <c:pt idx="28">
                  <c:v>3.0282637954239799E-3</c:v>
                </c:pt>
                <c:pt idx="29">
                  <c:v>-5.5909650005681044E-5</c:v>
                </c:pt>
                <c:pt idx="30">
                  <c:v>-3.242941012021161E-3</c:v>
                </c:pt>
                <c:pt idx="31">
                  <c:v>1.0377517249116508E-2</c:v>
                </c:pt>
                <c:pt idx="32">
                  <c:v>1.1103708638682264E-4</c:v>
                </c:pt>
                <c:pt idx="33">
                  <c:v>2.9421561008105002E-3</c:v>
                </c:pt>
                <c:pt idx="34">
                  <c:v>7.9149831183926711E-3</c:v>
                </c:pt>
                <c:pt idx="35">
                  <c:v>3.8440417353102774E-3</c:v>
                </c:pt>
                <c:pt idx="36">
                  <c:v>-3.3916849015317441E-3</c:v>
                </c:pt>
                <c:pt idx="37">
                  <c:v>-1.3173784169503433E-3</c:v>
                </c:pt>
                <c:pt idx="38">
                  <c:v>8.1345498515994485E-3</c:v>
                </c:pt>
                <c:pt idx="39">
                  <c:v>-1.4175117217315458E-3</c:v>
                </c:pt>
                <c:pt idx="40">
                  <c:v>-1.0264249836208772E-2</c:v>
                </c:pt>
                <c:pt idx="41">
                  <c:v>1.9858781994703811E-3</c:v>
                </c:pt>
                <c:pt idx="42">
                  <c:v>1.3157894736842257E-2</c:v>
                </c:pt>
                <c:pt idx="43">
                  <c:v>-5.5425745802315518E-3</c:v>
                </c:pt>
                <c:pt idx="44">
                  <c:v>1.2185126495819931E-2</c:v>
                </c:pt>
                <c:pt idx="45">
                  <c:v>-3.7788814510919533E-4</c:v>
                </c:pt>
                <c:pt idx="46">
                  <c:v>6.8585624021171299E-3</c:v>
                </c:pt>
                <c:pt idx="47">
                  <c:v>2.5745548165629906E-3</c:v>
                </c:pt>
                <c:pt idx="48">
                  <c:v>-1.5514658677509008E-3</c:v>
                </c:pt>
                <c:pt idx="49">
                  <c:v>7.7693832717142808E-3</c:v>
                </c:pt>
                <c:pt idx="50">
                  <c:v>-2.9774564015312421E-3</c:v>
                </c:pt>
                <c:pt idx="51">
                  <c:v>3.3596416382253302E-3</c:v>
                </c:pt>
                <c:pt idx="52">
                  <c:v>6.6436353972894047E-3</c:v>
                </c:pt>
                <c:pt idx="53">
                  <c:v>8.9757127771910028E-3</c:v>
                </c:pt>
                <c:pt idx="54">
                  <c:v>-4.7095761381477086E-4</c:v>
                </c:pt>
                <c:pt idx="55">
                  <c:v>5.7588607926284396E-4</c:v>
                </c:pt>
                <c:pt idx="56">
                  <c:v>-3.4010046044370412E-3</c:v>
                </c:pt>
                <c:pt idx="57">
                  <c:v>-1.0447839554785565E-2</c:v>
                </c:pt>
                <c:pt idx="58">
                  <c:v>-1.6924872665534774E-2</c:v>
                </c:pt>
                <c:pt idx="59">
                  <c:v>1.1819310270386962E-2</c:v>
                </c:pt>
                <c:pt idx="60">
                  <c:v>-4.3204608491572705E-3</c:v>
                </c:pt>
                <c:pt idx="61">
                  <c:v>-7.9284298494669558E-3</c:v>
                </c:pt>
                <c:pt idx="62">
                  <c:v>-1.268967006857824E-2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8A-4C7B-9B0E-DCA6D1F88424}"/>
            </c:ext>
          </c:extLst>
        </c:ser>
        <c:ser>
          <c:idx val="5"/>
          <c:order val="5"/>
          <c:tx>
            <c:strRef>
              <c:f>'Communication Services'!$B$14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Services'!$C$14:$BM$14</c:f>
              <c:numCache>
                <c:formatCode>General</c:formatCode>
                <c:ptCount val="63"/>
                <c:pt idx="1">
                  <c:v>9.6623605788856981E-3</c:v>
                </c:pt>
                <c:pt idx="2">
                  <c:v>3.70405391746087E-3</c:v>
                </c:pt>
                <c:pt idx="3">
                  <c:v>-1.1857309462782739E-3</c:v>
                </c:pt>
                <c:pt idx="4">
                  <c:v>7.0252584059171674E-4</c:v>
                </c:pt>
                <c:pt idx="5">
                  <c:v>2.7301269509030224E-3</c:v>
                </c:pt>
                <c:pt idx="6">
                  <c:v>2.5606285532773221E-3</c:v>
                </c:pt>
                <c:pt idx="7">
                  <c:v>-1.9624452002533488E-3</c:v>
                </c:pt>
                <c:pt idx="8">
                  <c:v>1.5646207819215441E-3</c:v>
                </c:pt>
                <c:pt idx="9">
                  <c:v>7.1155040364301314E-4</c:v>
                </c:pt>
                <c:pt idx="10">
                  <c:v>8.3709325024883263E-4</c:v>
                </c:pt>
                <c:pt idx="11">
                  <c:v>7.6954624866387711E-3</c:v>
                </c:pt>
                <c:pt idx="12">
                  <c:v>5.0313094864229413E-4</c:v>
                </c:pt>
                <c:pt idx="13">
                  <c:v>-5.9256317203881803E-4</c:v>
                </c:pt>
                <c:pt idx="14">
                  <c:v>-3.7561935529359936E-3</c:v>
                </c:pt>
                <c:pt idx="15">
                  <c:v>-1.5827773238195064E-3</c:v>
                </c:pt>
                <c:pt idx="16">
                  <c:v>2.1749357185665286E-3</c:v>
                </c:pt>
                <c:pt idx="17">
                  <c:v>7.5073385439943241E-3</c:v>
                </c:pt>
                <c:pt idx="18">
                  <c:v>2.1955297992111156E-3</c:v>
                </c:pt>
                <c:pt idx="19">
                  <c:v>4.1744679225097503E-3</c:v>
                </c:pt>
                <c:pt idx="20">
                  <c:v>-4.0112505271703291E-3</c:v>
                </c:pt>
                <c:pt idx="21">
                  <c:v>-8.6310641901572449E-3</c:v>
                </c:pt>
                <c:pt idx="22">
                  <c:v>-6.6380420505672832E-3</c:v>
                </c:pt>
                <c:pt idx="23">
                  <c:v>6.323548428811776E-3</c:v>
                </c:pt>
                <c:pt idx="24">
                  <c:v>1.500276282141666E-3</c:v>
                </c:pt>
                <c:pt idx="25">
                  <c:v>9.1357303933048417E-3</c:v>
                </c:pt>
                <c:pt idx="26">
                  <c:v>-3.1628368262283102E-3</c:v>
                </c:pt>
                <c:pt idx="27">
                  <c:v>-1.0969527672547441E-3</c:v>
                </c:pt>
                <c:pt idx="28">
                  <c:v>2.9082017034209873E-3</c:v>
                </c:pt>
                <c:pt idx="29">
                  <c:v>8.5751663945150547E-3</c:v>
                </c:pt>
                <c:pt idx="30">
                  <c:v>7.258794976916505E-5</c:v>
                </c:pt>
                <c:pt idx="31">
                  <c:v>7.1478162080280683E-3</c:v>
                </c:pt>
                <c:pt idx="32">
                  <c:v>3.3527080167328194E-4</c:v>
                </c:pt>
                <c:pt idx="33">
                  <c:v>-4.3226040870536497E-4</c:v>
                </c:pt>
                <c:pt idx="34">
                  <c:v>4.4592214694434418E-3</c:v>
                </c:pt>
                <c:pt idx="35">
                  <c:v>4.9448269622538454E-3</c:v>
                </c:pt>
                <c:pt idx="36">
                  <c:v>8.6613146571812294E-4</c:v>
                </c:pt>
                <c:pt idx="37">
                  <c:v>-1.9540882317370389E-4</c:v>
                </c:pt>
                <c:pt idx="38">
                  <c:v>5.1281573999961694E-3</c:v>
                </c:pt>
                <c:pt idx="39">
                  <c:v>3.3951560382883272E-5</c:v>
                </c:pt>
                <c:pt idx="40">
                  <c:v>-5.7808285134042237E-3</c:v>
                </c:pt>
                <c:pt idx="41">
                  <c:v>2.9460247292234509E-3</c:v>
                </c:pt>
                <c:pt idx="42">
                  <c:v>8.3787815945375321E-3</c:v>
                </c:pt>
                <c:pt idx="43">
                  <c:v>-7.059870773669763E-3</c:v>
                </c:pt>
                <c:pt idx="44">
                  <c:v>3.5333941295578875E-3</c:v>
                </c:pt>
                <c:pt idx="45">
                  <c:v>-2.8032085956850583E-3</c:v>
                </c:pt>
                <c:pt idx="46">
                  <c:v>4.9024150649641385E-3</c:v>
                </c:pt>
                <c:pt idx="47">
                  <c:v>6.6552927252885308E-3</c:v>
                </c:pt>
                <c:pt idx="48">
                  <c:v>-2.8552233792408233E-3</c:v>
                </c:pt>
                <c:pt idx="49">
                  <c:v>6.9762812562206289E-3</c:v>
                </c:pt>
                <c:pt idx="50">
                  <c:v>-1.5145386587512855E-3</c:v>
                </c:pt>
                <c:pt idx="51">
                  <c:v>1.870155186330269E-3</c:v>
                </c:pt>
                <c:pt idx="52">
                  <c:v>8.3665471879950104E-3</c:v>
                </c:pt>
                <c:pt idx="53">
                  <c:v>3.862144651035182E-3</c:v>
                </c:pt>
                <c:pt idx="54">
                  <c:v>-2.6519542770646609E-3</c:v>
                </c:pt>
                <c:pt idx="55">
                  <c:v>2.8908783753256451E-4</c:v>
                </c:pt>
                <c:pt idx="56">
                  <c:v>1.1409648528637462E-3</c:v>
                </c:pt>
                <c:pt idx="57">
                  <c:v>-9.0421405245464381E-3</c:v>
                </c:pt>
                <c:pt idx="58">
                  <c:v>-1.5730684849202037E-2</c:v>
                </c:pt>
                <c:pt idx="59">
                  <c:v>1.0053551114029613E-2</c:v>
                </c:pt>
                <c:pt idx="60">
                  <c:v>-8.6684736160957954E-4</c:v>
                </c:pt>
                <c:pt idx="61">
                  <c:v>3.1343557157694768E-3</c:v>
                </c:pt>
                <c:pt idx="62">
                  <c:v>-1.7705852615678808E-2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8A-4C7B-9B0E-DCA6D1F88424}"/>
            </c:ext>
          </c:extLst>
        </c:ser>
        <c:ser>
          <c:idx val="7"/>
          <c:order val="7"/>
          <c:tx>
            <c:strRef>
              <c:f>'Communication Services'!$B$22</c:f>
              <c:strCache>
                <c:ptCount val="1"/>
                <c:pt idx="0">
                  <c:v>S&amp;P Comm. Svcs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Services'!$C$22:$BM$22</c:f>
              <c:numCache>
                <c:formatCode>General</c:formatCode>
                <c:ptCount val="63"/>
                <c:pt idx="0">
                  <c:v>1</c:v>
                </c:pt>
                <c:pt idx="1">
                  <c:v>1.0083226632522408</c:v>
                </c:pt>
                <c:pt idx="2">
                  <c:v>1.0123966942148761</c:v>
                </c:pt>
                <c:pt idx="3">
                  <c:v>1.0116982889069959</c:v>
                </c:pt>
                <c:pt idx="4">
                  <c:v>1.009661273425678</c:v>
                </c:pt>
                <c:pt idx="5">
                  <c:v>1.0164125247351881</c:v>
                </c:pt>
                <c:pt idx="6">
                  <c:v>1.0201373530438833</c:v>
                </c:pt>
                <c:pt idx="7">
                  <c:v>1.0161215225235714</c:v>
                </c:pt>
                <c:pt idx="8">
                  <c:v>1.0191479455243861</c:v>
                </c:pt>
                <c:pt idx="9">
                  <c:v>1.0234547782563148</c:v>
                </c:pt>
                <c:pt idx="10">
                  <c:v>1.0265394016994531</c:v>
                </c:pt>
                <c:pt idx="11">
                  <c:v>1.0338144569898733</c:v>
                </c:pt>
                <c:pt idx="12">
                  <c:v>1.0366662786637182</c:v>
                </c:pt>
                <c:pt idx="13">
                  <c:v>1.0339890583168434</c:v>
                </c:pt>
                <c:pt idx="14">
                  <c:v>1.0257827959492494</c:v>
                </c:pt>
                <c:pt idx="15">
                  <c:v>1.0283436154114773</c:v>
                </c:pt>
                <c:pt idx="16">
                  <c:v>1.0296822255849145</c:v>
                </c:pt>
                <c:pt idx="17">
                  <c:v>1.0309044348737051</c:v>
                </c:pt>
                <c:pt idx="18">
                  <c:v>1.0346292631824003</c:v>
                </c:pt>
                <c:pt idx="19">
                  <c:v>1.0411477127226167</c:v>
                </c:pt>
                <c:pt idx="20">
                  <c:v>1.0373646839715984</c:v>
                </c:pt>
                <c:pt idx="21">
                  <c:v>1.0283436154114773</c:v>
                </c:pt>
                <c:pt idx="22">
                  <c:v>1.027470608776627</c:v>
                </c:pt>
                <c:pt idx="23">
                  <c:v>1.0340472587591669</c:v>
                </c:pt>
                <c:pt idx="24">
                  <c:v>1.0380630892794789</c:v>
                </c:pt>
                <c:pt idx="25">
                  <c:v>1.0445815388196953</c:v>
                </c:pt>
                <c:pt idx="26">
                  <c:v>1.0415551158188805</c:v>
                </c:pt>
                <c:pt idx="27">
                  <c:v>1.0378302875101852</c:v>
                </c:pt>
                <c:pt idx="28">
                  <c:v>1.0409731113956469</c:v>
                </c:pt>
                <c:pt idx="29">
                  <c:v>1.0409149109533233</c:v>
                </c:pt>
                <c:pt idx="30">
                  <c:v>1.0375392852985685</c:v>
                </c:pt>
                <c:pt idx="31">
                  <c:v>1.0483063671283905</c:v>
                </c:pt>
                <c:pt idx="32">
                  <c:v>1.0484227680130371</c:v>
                </c:pt>
                <c:pt idx="33">
                  <c:v>1.0515073914561752</c:v>
                </c:pt>
                <c:pt idx="34">
                  <c:v>1.0598300547084161</c:v>
                </c:pt>
                <c:pt idx="35">
                  <c:v>1.0639040856710513</c:v>
                </c:pt>
                <c:pt idx="36">
                  <c:v>1.0602956582470029</c:v>
                </c:pt>
                <c:pt idx="37">
                  <c:v>1.0588988476312422</c:v>
                </c:pt>
                <c:pt idx="38">
                  <c:v>1.0675125130950998</c:v>
                </c:pt>
                <c:pt idx="39">
                  <c:v>1.0659993015946923</c:v>
                </c:pt>
                <c:pt idx="40">
                  <c:v>1.0550576184379004</c:v>
                </c:pt>
                <c:pt idx="41">
                  <c:v>1.0571528343615413</c:v>
                </c:pt>
                <c:pt idx="42">
                  <c:v>1.0710627400768249</c:v>
                </c:pt>
                <c:pt idx="43">
                  <c:v>1.0651262949598419</c:v>
                </c:pt>
                <c:pt idx="44">
                  <c:v>1.0781049935979516</c:v>
                </c:pt>
                <c:pt idx="45">
                  <c:v>1.0776975905016879</c:v>
                </c:pt>
                <c:pt idx="46">
                  <c:v>1.0850890466767551</c:v>
                </c:pt>
                <c:pt idx="47">
                  <c:v>1.0878826679082765</c:v>
                </c:pt>
                <c:pt idx="48">
                  <c:v>1.0861948550808991</c:v>
                </c:pt>
                <c:pt idx="49">
                  <c:v>1.0946339192177867</c:v>
                </c:pt>
                <c:pt idx="50">
                  <c:v>1.0913746944476785</c:v>
                </c:pt>
                <c:pt idx="51">
                  <c:v>1.0950413223140505</c:v>
                </c:pt>
                <c:pt idx="52">
                  <c:v>1.1023163776044707</c:v>
                </c:pt>
                <c:pt idx="53">
                  <c:v>1.1122104527994421</c:v>
                </c:pt>
                <c:pt idx="54">
                  <c:v>1.1116866488185317</c:v>
                </c:pt>
                <c:pt idx="55">
                  <c:v>1.1123268536840887</c:v>
                </c:pt>
                <c:pt idx="56">
                  <c:v>1.1085438249330701</c:v>
                </c:pt>
                <c:pt idx="57">
                  <c:v>1.0969619369107211</c:v>
                </c:pt>
                <c:pt idx="58">
                  <c:v>1.0783959958095688</c:v>
                </c:pt>
                <c:pt idx="59">
                  <c:v>1.0911418926783849</c:v>
                </c:pt>
                <c:pt idx="60">
                  <c:v>1.0864276568501925</c:v>
                </c:pt>
                <c:pt idx="61">
                  <c:v>1.0778139913863349</c:v>
                </c:pt>
                <c:pt idx="62">
                  <c:v>1.064136887440345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8A-4C7B-9B0E-DCA6D1F88424}"/>
            </c:ext>
          </c:extLst>
        </c:ser>
        <c:ser>
          <c:idx val="8"/>
          <c:order val="8"/>
          <c:tx>
            <c:strRef>
              <c:f>'Communication Services'!$B$23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Services'!$C$23:$BM$23</c:f>
              <c:numCache>
                <c:formatCode>General</c:formatCode>
                <c:ptCount val="63"/>
                <c:pt idx="0">
                  <c:v>1</c:v>
                </c:pt>
                <c:pt idx="1">
                  <c:v>1.0096623605788857</c:v>
                </c:pt>
                <c:pt idx="2">
                  <c:v>1.0134022044009008</c:v>
                </c:pt>
                <c:pt idx="3">
                  <c:v>1.012200582046116</c:v>
                </c:pt>
                <c:pt idx="4">
                  <c:v>1.0129116791108654</c:v>
                </c:pt>
                <c:pt idx="5">
                  <c:v>1.0156770565848905</c:v>
                </c:pt>
                <c:pt idx="6">
                  <c:v>1.0182778282568905</c:v>
                </c:pt>
                <c:pt idx="7">
                  <c:v>1.0162795138203033</c:v>
                </c:pt>
                <c:pt idx="8">
                  <c:v>1.0178696058678678</c:v>
                </c:pt>
                <c:pt idx="9">
                  <c:v>1.018593871396779</c:v>
                </c:pt>
                <c:pt idx="10">
                  <c:v>1.01944652945127</c:v>
                </c:pt>
                <c:pt idx="11">
                  <c:v>1.0272916419757963</c:v>
                </c:pt>
                <c:pt idx="12">
                  <c:v>1.0278085041941558</c:v>
                </c:pt>
                <c:pt idx="13">
                  <c:v>1.0271994627266621</c:v>
                </c:pt>
                <c:pt idx="14">
                  <c:v>1.0233411027271888</c:v>
                </c:pt>
                <c:pt idx="15">
                  <c:v>1.0217213816352597</c:v>
                </c:pt>
                <c:pt idx="16">
                  <c:v>1.0239435599626014</c:v>
                </c:pt>
                <c:pt idx="17">
                  <c:v>1.0316306509171835</c:v>
                </c:pt>
                <c:pt idx="18">
                  <c:v>1.0338956267530517</c:v>
                </c:pt>
                <c:pt idx="19">
                  <c:v>1.0382115908821554</c:v>
                </c:pt>
                <c:pt idx="20">
                  <c:v>1.034047064090915</c:v>
                </c:pt>
                <c:pt idx="21">
                  <c:v>1.0251221375051027</c:v>
                </c:pt>
                <c:pt idx="22">
                  <c:v>1.0183173336493765</c:v>
                </c:pt>
                <c:pt idx="23">
                  <c:v>1.0247567126246069</c:v>
                </c:pt>
                <c:pt idx="24">
                  <c:v>1.0262941308155231</c:v>
                </c:pt>
                <c:pt idx="25">
                  <c:v>1.0356700772988849</c:v>
                </c:pt>
                <c:pt idx="26">
                  <c:v>1.0323944218385812</c:v>
                </c:pt>
                <c:pt idx="27">
                  <c:v>1.031261933920647</c:v>
                </c:pt>
                <c:pt idx="28">
                  <c:v>1.0342610516335482</c:v>
                </c:pt>
                <c:pt idx="29">
                  <c:v>1.043130012246672</c:v>
                </c:pt>
                <c:pt idx="30">
                  <c:v>1.0432057309156038</c:v>
                </c:pt>
                <c:pt idx="31">
                  <c:v>1.0506623737473502</c:v>
                </c:pt>
                <c:pt idx="32">
                  <c:v>1.0510146301636845</c:v>
                </c:pt>
                <c:pt idx="33">
                  <c:v>1.0505603181500947</c:v>
                </c:pt>
                <c:pt idx="34">
                  <c:v>1.0552449992757349</c:v>
                </c:pt>
                <c:pt idx="35">
                  <c:v>1.0604630031999371</c:v>
                </c:pt>
                <c:pt idx="36">
                  <c:v>1.0613815035752385</c:v>
                </c:pt>
                <c:pt idx="37">
                  <c:v>1.0611741002646866</c:v>
                </c:pt>
                <c:pt idx="38">
                  <c:v>1.0666159680796432</c:v>
                </c:pt>
                <c:pt idx="39">
                  <c:v>1.0666521813560887</c:v>
                </c:pt>
                <c:pt idx="40">
                  <c:v>1.0604860480122207</c:v>
                </c:pt>
                <c:pt idx="41">
                  <c:v>1.0636102661346611</c:v>
                </c:pt>
                <c:pt idx="42">
                  <c:v>1.0725220242563114</c:v>
                </c:pt>
                <c:pt idx="43">
                  <c:v>1.064950157363147</c:v>
                </c:pt>
                <c:pt idx="44">
                  <c:v>1.0687130459974457</c:v>
                </c:pt>
                <c:pt idx="45">
                  <c:v>1.0657172204005849</c:v>
                </c:pt>
                <c:pt idx="46">
                  <c:v>1.0709418085568685</c:v>
                </c:pt>
                <c:pt idx="47">
                  <c:v>1.0780692397845644</c:v>
                </c:pt>
                <c:pt idx="48">
                  <c:v>1.074991111286691</c:v>
                </c:pt>
                <c:pt idx="49">
                  <c:v>1.0824905516269641</c:v>
                </c:pt>
                <c:pt idx="50">
                  <c:v>1.0808510778387921</c:v>
                </c:pt>
                <c:pt idx="51">
                  <c:v>1.082872437087663</c:v>
                </c:pt>
                <c:pt idx="52">
                  <c:v>1.0919323404311361</c:v>
                </c:pt>
                <c:pt idx="53">
                  <c:v>1.0961495410790245</c:v>
                </c:pt>
                <c:pt idx="54">
                  <c:v>1.0932426026152575</c:v>
                </c:pt>
                <c:pt idx="55">
                  <c:v>1.0935586457551461</c:v>
                </c:pt>
                <c:pt idx="56">
                  <c:v>1.094806357734498</c:v>
                </c:pt>
                <c:pt idx="57">
                  <c:v>1.0849069648006957</c:v>
                </c:pt>
                <c:pt idx="58">
                  <c:v>1.0678406352467116</c:v>
                </c:pt>
                <c:pt idx="59">
                  <c:v>1.0785762256548022</c:v>
                </c:pt>
                <c:pt idx="60">
                  <c:v>1.0776412646992986</c:v>
                </c:pt>
                <c:pt idx="61">
                  <c:v>1.0810189757568578</c:v>
                </c:pt>
                <c:pt idx="62">
                  <c:v>1.0618786130973548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8A-4C7B-9B0E-DCA6D1F88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959344"/>
        <c:axId val="1010943928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'Communication Services'!$B$21</c15:sqref>
                        </c15:formulaRef>
                      </c:ext>
                    </c:extLst>
                    <c:strCache>
                      <c:ptCount val="1"/>
                      <c:pt idx="0">
                        <c:v>COMMUNICATION SERVICES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'Communication Services'!$C$21:$BM$21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1.0090434263274124</c:v>
                      </c:pt>
                      <c:pt idx="2">
                        <c:v>1.0111701501027361</c:v>
                      </c:pt>
                      <c:pt idx="3">
                        <c:v>1.0059979490806366</c:v>
                      </c:pt>
                      <c:pt idx="4">
                        <c:v>1.0025434480286752</c:v>
                      </c:pt>
                      <c:pt idx="5">
                        <c:v>1.0066798887695265</c:v>
                      </c:pt>
                      <c:pt idx="6">
                        <c:v>1.0116148759857824</c:v>
                      </c:pt>
                      <c:pt idx="7">
                        <c:v>1.0010873632845432</c:v>
                      </c:pt>
                      <c:pt idx="8">
                        <c:v>1.0055408224758682</c:v>
                      </c:pt>
                      <c:pt idx="9">
                        <c:v>1.0170696934561592</c:v>
                      </c:pt>
                      <c:pt idx="10">
                        <c:v>1.0196970463680988</c:v>
                      </c:pt>
                      <c:pt idx="11">
                        <c:v>1.0289615855642797</c:v>
                      </c:pt>
                      <c:pt idx="12">
                        <c:v>1.0316261406413854</c:v>
                      </c:pt>
                      <c:pt idx="13">
                        <c:v>1.0312275174415149</c:v>
                      </c:pt>
                      <c:pt idx="14">
                        <c:v>1.0230941940820952</c:v>
                      </c:pt>
                      <c:pt idx="15">
                        <c:v>1.022471807859217</c:v>
                      </c:pt>
                      <c:pt idx="16">
                        <c:v>1.0218989745203169</c:v>
                      </c:pt>
                      <c:pt idx="17">
                        <c:v>1.0269357676616777</c:v>
                      </c:pt>
                      <c:pt idx="18">
                        <c:v>1.0332346342557135</c:v>
                      </c:pt>
                      <c:pt idx="19">
                        <c:v>1.0371642629601041</c:v>
                      </c:pt>
                      <c:pt idx="20">
                        <c:v>1.0357730819933717</c:v>
                      </c:pt>
                      <c:pt idx="21">
                        <c:v>1.0242181094939724</c:v>
                      </c:pt>
                      <c:pt idx="22">
                        <c:v>1.0236197746708855</c:v>
                      </c:pt>
                      <c:pt idx="23">
                        <c:v>1.027824219369567</c:v>
                      </c:pt>
                      <c:pt idx="24">
                        <c:v>1.0328069093621246</c:v>
                      </c:pt>
                      <c:pt idx="25">
                        <c:v>1.037889605175021</c:v>
                      </c:pt>
                      <c:pt idx="26">
                        <c:v>1.0346553169394457</c:v>
                      </c:pt>
                      <c:pt idx="27">
                        <c:v>1.038885163116493</c:v>
                      </c:pt>
                      <c:pt idx="28">
                        <c:v>1.0446538988569134</c:v>
                      </c:pt>
                      <c:pt idx="29">
                        <c:v>1.0468379259672909</c:v>
                      </c:pt>
                      <c:pt idx="30">
                        <c:v>1.0464827052934476</c:v>
                      </c:pt>
                      <c:pt idx="31">
                        <c:v>1.0573825396638081</c:v>
                      </c:pt>
                      <c:pt idx="32">
                        <c:v>1.0525718596822331</c:v>
                      </c:pt>
                      <c:pt idx="33">
                        <c:v>1.0574294423935466</c:v>
                      </c:pt>
                      <c:pt idx="34">
                        <c:v>1.072243304560325</c:v>
                      </c:pt>
                      <c:pt idx="35">
                        <c:v>1.0768075702005853</c:v>
                      </c:pt>
                      <c:pt idx="36">
                        <c:v>1.0734213731239153</c:v>
                      </c:pt>
                      <c:pt idx="37">
                        <c:v>1.0722663058990027</c:v>
                      </c:pt>
                      <c:pt idx="38">
                        <c:v>1.0828138197643098</c:v>
                      </c:pt>
                      <c:pt idx="39">
                        <c:v>1.0847285812034255</c:v>
                      </c:pt>
                      <c:pt idx="40">
                        <c:v>1.07223000378622</c:v>
                      </c:pt>
                      <c:pt idx="41">
                        <c:v>1.0742247198786965</c:v>
                      </c:pt>
                      <c:pt idx="42">
                        <c:v>1.090356558751719</c:v>
                      </c:pt>
                      <c:pt idx="43">
                        <c:v>1.0860329071151937</c:v>
                      </c:pt>
                      <c:pt idx="44">
                        <c:v>1.1007894659469177</c:v>
                      </c:pt>
                      <c:pt idx="45">
                        <c:v>1.1019115812540285</c:v>
                      </c:pt>
                      <c:pt idx="46">
                        <c:v>1.1070873324827502</c:v>
                      </c:pt>
                      <c:pt idx="47">
                        <c:v>1.1111876711224589</c:v>
                      </c:pt>
                      <c:pt idx="48">
                        <c:v>1.1132939937104336</c:v>
                      </c:pt>
                      <c:pt idx="49">
                        <c:v>1.1223236192346391</c:v>
                      </c:pt>
                      <c:pt idx="50">
                        <c:v>1.1210587456189947</c:v>
                      </c:pt>
                      <c:pt idx="51">
                        <c:v>1.1246615553025181</c:v>
                      </c:pt>
                      <c:pt idx="52">
                        <c:v>1.1333503609910094</c:v>
                      </c:pt>
                      <c:pt idx="53">
                        <c:v>1.1405854820750563</c:v>
                      </c:pt>
                      <c:pt idx="54">
                        <c:v>1.138348551885719</c:v>
                      </c:pt>
                      <c:pt idx="55">
                        <c:v>1.1372999908594674</c:v>
                      </c:pt>
                      <c:pt idx="56">
                        <c:v>1.130467493208104</c:v>
                      </c:pt>
                      <c:pt idx="57">
                        <c:v>1.1151244002400933</c:v>
                      </c:pt>
                      <c:pt idx="58">
                        <c:v>1.0937922587094562</c:v>
                      </c:pt>
                      <c:pt idx="59">
                        <c:v>1.108807332586756</c:v>
                      </c:pt>
                      <c:pt idx="60">
                        <c:v>1.1057472544902107</c:v>
                      </c:pt>
                      <c:pt idx="61">
                        <c:v>1.095270944768985</c:v>
                      </c:pt>
                      <c:pt idx="62">
                        <c:v>1.0726809300301272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358A-4C7B-9B0E-DCA6D1F88424}"/>
                  </c:ext>
                </c:extLst>
              </c15:ser>
            </c15:filteredLineSeries>
          </c:ext>
        </c:extLst>
      </c:lineChart>
      <c:dateAx>
        <c:axId val="10109593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43928"/>
        <c:crosses val="autoZero"/>
        <c:auto val="1"/>
        <c:lblOffset val="100"/>
        <c:baseTimeUnit val="days"/>
        <c:majorUnit val="13"/>
        <c:majorTimeUnit val="days"/>
      </c:dateAx>
      <c:valAx>
        <c:axId val="1010943928"/>
        <c:scaling>
          <c:orientation val="minMax"/>
          <c:min val="0.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 Services vs 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9"/>
          <c:order val="19"/>
          <c:tx>
            <c:strRef>
              <c:f>'Communication Services'!$B$22</c:f>
              <c:strCache>
                <c:ptCount val="1"/>
                <c:pt idx="0">
                  <c:v>S&amp;P Comm. Svcs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  <c:extLst xmlns:c15="http://schemas.microsoft.com/office/drawing/2012/chart"/>
            </c:numRef>
          </c:cat>
          <c:val>
            <c:numRef>
              <c:f>'Communication Services'!$C$22:$BM$22</c:f>
              <c:numCache>
                <c:formatCode>General</c:formatCode>
                <c:ptCount val="63"/>
                <c:pt idx="0">
                  <c:v>1</c:v>
                </c:pt>
                <c:pt idx="1">
                  <c:v>1.0083226632522408</c:v>
                </c:pt>
                <c:pt idx="2">
                  <c:v>1.0123966942148761</c:v>
                </c:pt>
                <c:pt idx="3">
                  <c:v>1.0116982889069959</c:v>
                </c:pt>
                <c:pt idx="4">
                  <c:v>1.009661273425678</c:v>
                </c:pt>
                <c:pt idx="5">
                  <c:v>1.0164125247351881</c:v>
                </c:pt>
                <c:pt idx="6">
                  <c:v>1.0201373530438833</c:v>
                </c:pt>
                <c:pt idx="7">
                  <c:v>1.0161215225235714</c:v>
                </c:pt>
                <c:pt idx="8">
                  <c:v>1.0191479455243861</c:v>
                </c:pt>
                <c:pt idx="9">
                  <c:v>1.0234547782563148</c:v>
                </c:pt>
                <c:pt idx="10">
                  <c:v>1.0265394016994531</c:v>
                </c:pt>
                <c:pt idx="11">
                  <c:v>1.0338144569898733</c:v>
                </c:pt>
                <c:pt idx="12">
                  <c:v>1.0366662786637182</c:v>
                </c:pt>
                <c:pt idx="13">
                  <c:v>1.0339890583168434</c:v>
                </c:pt>
                <c:pt idx="14">
                  <c:v>1.0257827959492494</c:v>
                </c:pt>
                <c:pt idx="15">
                  <c:v>1.0283436154114773</c:v>
                </c:pt>
                <c:pt idx="16">
                  <c:v>1.0296822255849145</c:v>
                </c:pt>
                <c:pt idx="17">
                  <c:v>1.0309044348737051</c:v>
                </c:pt>
                <c:pt idx="18">
                  <c:v>1.0346292631824003</c:v>
                </c:pt>
                <c:pt idx="19">
                  <c:v>1.0411477127226167</c:v>
                </c:pt>
                <c:pt idx="20">
                  <c:v>1.0373646839715984</c:v>
                </c:pt>
                <c:pt idx="21">
                  <c:v>1.0283436154114773</c:v>
                </c:pt>
                <c:pt idx="22">
                  <c:v>1.027470608776627</c:v>
                </c:pt>
                <c:pt idx="23">
                  <c:v>1.0340472587591669</c:v>
                </c:pt>
                <c:pt idx="24">
                  <c:v>1.0380630892794789</c:v>
                </c:pt>
                <c:pt idx="25">
                  <c:v>1.0445815388196953</c:v>
                </c:pt>
                <c:pt idx="26">
                  <c:v>1.0415551158188805</c:v>
                </c:pt>
                <c:pt idx="27">
                  <c:v>1.0378302875101852</c:v>
                </c:pt>
                <c:pt idx="28">
                  <c:v>1.0409731113956469</c:v>
                </c:pt>
                <c:pt idx="29">
                  <c:v>1.0409149109533233</c:v>
                </c:pt>
                <c:pt idx="30">
                  <c:v>1.0375392852985685</c:v>
                </c:pt>
                <c:pt idx="31">
                  <c:v>1.0483063671283905</c:v>
                </c:pt>
                <c:pt idx="32">
                  <c:v>1.0484227680130371</c:v>
                </c:pt>
                <c:pt idx="33">
                  <c:v>1.0515073914561752</c:v>
                </c:pt>
                <c:pt idx="34">
                  <c:v>1.0598300547084161</c:v>
                </c:pt>
                <c:pt idx="35">
                  <c:v>1.0639040856710513</c:v>
                </c:pt>
                <c:pt idx="36">
                  <c:v>1.0602956582470029</c:v>
                </c:pt>
                <c:pt idx="37">
                  <c:v>1.0588988476312422</c:v>
                </c:pt>
                <c:pt idx="38">
                  <c:v>1.0675125130950998</c:v>
                </c:pt>
                <c:pt idx="39">
                  <c:v>1.0659993015946923</c:v>
                </c:pt>
                <c:pt idx="40">
                  <c:v>1.0550576184379004</c:v>
                </c:pt>
                <c:pt idx="41">
                  <c:v>1.0571528343615413</c:v>
                </c:pt>
                <c:pt idx="42">
                  <c:v>1.0710627400768249</c:v>
                </c:pt>
                <c:pt idx="43">
                  <c:v>1.0651262949598419</c:v>
                </c:pt>
                <c:pt idx="44">
                  <c:v>1.0781049935979516</c:v>
                </c:pt>
                <c:pt idx="45">
                  <c:v>1.0776975905016879</c:v>
                </c:pt>
                <c:pt idx="46">
                  <c:v>1.0850890466767551</c:v>
                </c:pt>
                <c:pt idx="47">
                  <c:v>1.0878826679082765</c:v>
                </c:pt>
                <c:pt idx="48">
                  <c:v>1.0861948550808991</c:v>
                </c:pt>
                <c:pt idx="49">
                  <c:v>1.0946339192177867</c:v>
                </c:pt>
                <c:pt idx="50">
                  <c:v>1.0913746944476785</c:v>
                </c:pt>
                <c:pt idx="51">
                  <c:v>1.0950413223140505</c:v>
                </c:pt>
                <c:pt idx="52">
                  <c:v>1.1023163776044707</c:v>
                </c:pt>
                <c:pt idx="53">
                  <c:v>1.1122104527994421</c:v>
                </c:pt>
                <c:pt idx="54">
                  <c:v>1.1116866488185317</c:v>
                </c:pt>
                <c:pt idx="55">
                  <c:v>1.1123268536840887</c:v>
                </c:pt>
                <c:pt idx="56">
                  <c:v>1.1085438249330701</c:v>
                </c:pt>
                <c:pt idx="57">
                  <c:v>1.0969619369107211</c:v>
                </c:pt>
                <c:pt idx="58">
                  <c:v>1.0783959958095688</c:v>
                </c:pt>
                <c:pt idx="59">
                  <c:v>1.0911418926783849</c:v>
                </c:pt>
                <c:pt idx="60">
                  <c:v>1.0864276568501925</c:v>
                </c:pt>
                <c:pt idx="61">
                  <c:v>1.0778139913863349</c:v>
                </c:pt>
                <c:pt idx="62">
                  <c:v>1.064136887440345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3C4-4E64-85E3-1FA6CE7AD65C}"/>
            </c:ext>
          </c:extLst>
        </c:ser>
        <c:ser>
          <c:idx val="22"/>
          <c:order val="22"/>
          <c:tx>
            <c:strRef>
              <c:f>'Communication Services'!$B$25</c:f>
              <c:strCache>
                <c:ptCount val="1"/>
                <c:pt idx="0">
                  <c:v>MTCH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Services'!$C$25:$BM$25</c:f>
              <c:numCache>
                <c:formatCode>General</c:formatCode>
                <c:ptCount val="63"/>
                <c:pt idx="0">
                  <c:v>1</c:v>
                </c:pt>
                <c:pt idx="1">
                  <c:v>1.0001370050691876</c:v>
                </c:pt>
                <c:pt idx="2">
                  <c:v>0.97561309768461424</c:v>
                </c:pt>
                <c:pt idx="3">
                  <c:v>0.94218386080284966</c:v>
                </c:pt>
                <c:pt idx="4">
                  <c:v>0.91848198383340196</c:v>
                </c:pt>
                <c:pt idx="5">
                  <c:v>0.95492533223729292</c:v>
                </c:pt>
                <c:pt idx="6">
                  <c:v>0.94643101794766415</c:v>
                </c:pt>
                <c:pt idx="7">
                  <c:v>0.94108782024934934</c:v>
                </c:pt>
                <c:pt idx="8">
                  <c:v>0.93725167831209766</c:v>
                </c:pt>
                <c:pt idx="9">
                  <c:v>0.94122482531853713</c:v>
                </c:pt>
                <c:pt idx="10">
                  <c:v>0.95054117002329119</c:v>
                </c:pt>
                <c:pt idx="11">
                  <c:v>0.96013152486642039</c:v>
                </c:pt>
                <c:pt idx="12">
                  <c:v>0.97396903685436409</c:v>
                </c:pt>
                <c:pt idx="13">
                  <c:v>0.98451842718180627</c:v>
                </c:pt>
                <c:pt idx="14">
                  <c:v>0.96547472256473543</c:v>
                </c:pt>
                <c:pt idx="15">
                  <c:v>0.95958350458967046</c:v>
                </c:pt>
                <c:pt idx="16">
                  <c:v>0.95725441841348191</c:v>
                </c:pt>
                <c:pt idx="17">
                  <c:v>0.94917111933141585</c:v>
                </c:pt>
                <c:pt idx="18">
                  <c:v>0.96410467187285986</c:v>
                </c:pt>
                <c:pt idx="19">
                  <c:v>0.96109056035073348</c:v>
                </c:pt>
                <c:pt idx="20">
                  <c:v>0.96561172763392289</c:v>
                </c:pt>
                <c:pt idx="21">
                  <c:v>0.93738868338128545</c:v>
                </c:pt>
                <c:pt idx="22">
                  <c:v>0.93519660227428458</c:v>
                </c:pt>
                <c:pt idx="23">
                  <c:v>0.9313604603370329</c:v>
                </c:pt>
                <c:pt idx="24">
                  <c:v>0.9334155363748462</c:v>
                </c:pt>
                <c:pt idx="25">
                  <c:v>0.92985340457596977</c:v>
                </c:pt>
                <c:pt idx="26">
                  <c:v>0.92903137416084436</c:v>
                </c:pt>
                <c:pt idx="27">
                  <c:v>0.93505959720509702</c:v>
                </c:pt>
                <c:pt idx="28">
                  <c:v>0.94012878476503681</c:v>
                </c:pt>
                <c:pt idx="29">
                  <c:v>0.94656802301685217</c:v>
                </c:pt>
                <c:pt idx="30">
                  <c:v>0.98520345252774388</c:v>
                </c:pt>
                <c:pt idx="31">
                  <c:v>0.99068365529524638</c:v>
                </c:pt>
                <c:pt idx="32">
                  <c:v>0.97328401150842636</c:v>
                </c:pt>
                <c:pt idx="33">
                  <c:v>0.9760241128921775</c:v>
                </c:pt>
                <c:pt idx="34">
                  <c:v>1.0597342101657767</c:v>
                </c:pt>
                <c:pt idx="35">
                  <c:v>1.0941224825318545</c:v>
                </c:pt>
                <c:pt idx="36">
                  <c:v>1.0985066447458567</c:v>
                </c:pt>
                <c:pt idx="37">
                  <c:v>1.1089190300041112</c:v>
                </c:pt>
                <c:pt idx="38">
                  <c:v>1.1304288258665582</c:v>
                </c:pt>
                <c:pt idx="39">
                  <c:v>1.1512535963830672</c:v>
                </c:pt>
                <c:pt idx="40">
                  <c:v>1.1368680641183735</c:v>
                </c:pt>
                <c:pt idx="41">
                  <c:v>1.1249486230990557</c:v>
                </c:pt>
                <c:pt idx="42">
                  <c:v>1.1534456774900681</c:v>
                </c:pt>
                <c:pt idx="43">
                  <c:v>1.15221263186738</c:v>
                </c:pt>
                <c:pt idx="44">
                  <c:v>1.1552267433895065</c:v>
                </c:pt>
                <c:pt idx="45">
                  <c:v>1.1483764899301285</c:v>
                </c:pt>
                <c:pt idx="46">
                  <c:v>1.1652281134401983</c:v>
                </c:pt>
                <c:pt idx="47">
                  <c:v>1.1748184682833274</c:v>
                </c:pt>
                <c:pt idx="48">
                  <c:v>1.1937251678312106</c:v>
                </c:pt>
                <c:pt idx="49">
                  <c:v>1.227291409782163</c:v>
                </c:pt>
                <c:pt idx="50">
                  <c:v>1.2292094807507887</c:v>
                </c:pt>
                <c:pt idx="51">
                  <c:v>1.2481161802986718</c:v>
                </c:pt>
                <c:pt idx="52">
                  <c:v>1.2666118646389926</c:v>
                </c:pt>
                <c:pt idx="53">
                  <c:v>1.2482531853678593</c:v>
                </c:pt>
                <c:pt idx="54">
                  <c:v>1.2296204959583512</c:v>
                </c:pt>
                <c:pt idx="55">
                  <c:v>1.2270173996437876</c:v>
                </c:pt>
                <c:pt idx="56">
                  <c:v>1.2120838471023436</c:v>
                </c:pt>
                <c:pt idx="57">
                  <c:v>1.1723523770379511</c:v>
                </c:pt>
                <c:pt idx="58">
                  <c:v>1.155637758597069</c:v>
                </c:pt>
                <c:pt idx="59">
                  <c:v>1.150294560898754</c:v>
                </c:pt>
                <c:pt idx="60">
                  <c:v>1.1101520756267991</c:v>
                </c:pt>
                <c:pt idx="61">
                  <c:v>1.1104260857651742</c:v>
                </c:pt>
                <c:pt idx="62">
                  <c:v>1.0716536511850947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6-53C4-4E64-85E3-1FA6CE7AD65C}"/>
            </c:ext>
          </c:extLst>
        </c:ser>
        <c:ser>
          <c:idx val="23"/>
          <c:order val="23"/>
          <c:tx>
            <c:strRef>
              <c:f>'Communication Services'!$B$26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Services'!$C$26:$BM$26</c:f>
              <c:numCache>
                <c:formatCode>General</c:formatCode>
                <c:ptCount val="63"/>
                <c:pt idx="0">
                  <c:v>1</c:v>
                </c:pt>
                <c:pt idx="1">
                  <c:v>1.0119511561444532</c:v>
                </c:pt>
                <c:pt idx="2">
                  <c:v>1.0103923096908287</c:v>
                </c:pt>
                <c:pt idx="3">
                  <c:v>1.0176669264744089</c:v>
                </c:pt>
                <c:pt idx="4">
                  <c:v>1.0197453884125747</c:v>
                </c:pt>
                <c:pt idx="5">
                  <c:v>1.024162120031177</c:v>
                </c:pt>
                <c:pt idx="6">
                  <c:v>1.023122889062094</c:v>
                </c:pt>
                <c:pt idx="7">
                  <c:v>1.0228630813198232</c:v>
                </c:pt>
                <c:pt idx="8">
                  <c:v>1.0176669264744089</c:v>
                </c:pt>
                <c:pt idx="9">
                  <c:v>1.0174071187321381</c:v>
                </c:pt>
                <c:pt idx="10">
                  <c:v>1.0119511561444532</c:v>
                </c:pt>
                <c:pt idx="11">
                  <c:v>1.0262405819693425</c:v>
                </c:pt>
                <c:pt idx="12">
                  <c:v>1.0296180826188619</c:v>
                </c:pt>
                <c:pt idx="13">
                  <c:v>0.98726942062873446</c:v>
                </c:pt>
                <c:pt idx="14">
                  <c:v>0.96596518576253543</c:v>
                </c:pt>
                <c:pt idx="15">
                  <c:v>0.97687711093790575</c:v>
                </c:pt>
                <c:pt idx="16">
                  <c:v>0.98077422707196649</c:v>
                </c:pt>
                <c:pt idx="17">
                  <c:v>0.96804364770070117</c:v>
                </c:pt>
                <c:pt idx="18">
                  <c:v>0.97168095609249128</c:v>
                </c:pt>
                <c:pt idx="19">
                  <c:v>0.97843595739152989</c:v>
                </c:pt>
                <c:pt idx="20">
                  <c:v>0.9711613406079499</c:v>
                </c:pt>
                <c:pt idx="21">
                  <c:v>0.96960249415432553</c:v>
                </c:pt>
                <c:pt idx="22">
                  <c:v>0.97557807222655191</c:v>
                </c:pt>
                <c:pt idx="23">
                  <c:v>0.98986749805144159</c:v>
                </c:pt>
                <c:pt idx="24">
                  <c:v>0.99220576773187796</c:v>
                </c:pt>
                <c:pt idx="25">
                  <c:v>0.99246557547414882</c:v>
                </c:pt>
                <c:pt idx="26">
                  <c:v>0.98830865159781722</c:v>
                </c:pt>
                <c:pt idx="27">
                  <c:v>0.98882826708235871</c:v>
                </c:pt>
                <c:pt idx="28">
                  <c:v>0.99168615224733658</c:v>
                </c:pt>
                <c:pt idx="29">
                  <c:v>0.99636269160820945</c:v>
                </c:pt>
                <c:pt idx="30">
                  <c:v>0.99402442192777285</c:v>
                </c:pt>
                <c:pt idx="31">
                  <c:v>1.0025980774227068</c:v>
                </c:pt>
                <c:pt idx="32">
                  <c:v>1.0002598077422702</c:v>
                </c:pt>
                <c:pt idx="33">
                  <c:v>1.0064951935567676</c:v>
                </c:pt>
                <c:pt idx="34">
                  <c:v>1.0114315406599113</c:v>
                </c:pt>
                <c:pt idx="35">
                  <c:v>1.017147310989867</c:v>
                </c:pt>
                <c:pt idx="36">
                  <c:v>1.0150688490517012</c:v>
                </c:pt>
                <c:pt idx="37">
                  <c:v>1.0122109638867234</c:v>
                </c:pt>
                <c:pt idx="38">
                  <c:v>1.0174071187321376</c:v>
                </c:pt>
                <c:pt idx="39">
                  <c:v>1.0194855806703034</c:v>
                </c:pt>
                <c:pt idx="40">
                  <c:v>1.0142894258248889</c:v>
                </c:pt>
                <c:pt idx="41">
                  <c:v>1.0153286567939717</c:v>
                </c:pt>
                <c:pt idx="42">
                  <c:v>1.0096128864640159</c:v>
                </c:pt>
                <c:pt idx="43">
                  <c:v>1.0148090413094304</c:v>
                </c:pt>
                <c:pt idx="44">
                  <c:v>1.0158482722785132</c:v>
                </c:pt>
                <c:pt idx="45">
                  <c:v>1.0197453884125738</c:v>
                </c:pt>
                <c:pt idx="46">
                  <c:v>1.0228630813198225</c:v>
                </c:pt>
                <c:pt idx="47">
                  <c:v>1.0080540400103915</c:v>
                </c:pt>
                <c:pt idx="48">
                  <c:v>1.0020784619381651</c:v>
                </c:pt>
                <c:pt idx="49">
                  <c:v>0.98986749805144136</c:v>
                </c:pt>
                <c:pt idx="50">
                  <c:v>0.98960769030917073</c:v>
                </c:pt>
                <c:pt idx="51">
                  <c:v>0.98389191997921477</c:v>
                </c:pt>
                <c:pt idx="52">
                  <c:v>0.98804884385554648</c:v>
                </c:pt>
                <c:pt idx="53">
                  <c:v>0.9971421148350218</c:v>
                </c:pt>
                <c:pt idx="54">
                  <c:v>1.0007794232268119</c:v>
                </c:pt>
                <c:pt idx="55">
                  <c:v>1.0142894258248893</c:v>
                </c:pt>
                <c:pt idx="56">
                  <c:v>1.00363730839179</c:v>
                </c:pt>
                <c:pt idx="57">
                  <c:v>1.0002598077422706</c:v>
                </c:pt>
                <c:pt idx="58">
                  <c:v>0.99376461418550266</c:v>
                </c:pt>
                <c:pt idx="59">
                  <c:v>1.0023382696804364</c:v>
                </c:pt>
                <c:pt idx="60">
                  <c:v>0.96258768511301618</c:v>
                </c:pt>
                <c:pt idx="61">
                  <c:v>0.97246037931930351</c:v>
                </c:pt>
                <c:pt idx="62">
                  <c:v>0.97739672642244713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7-53C4-4E64-85E3-1FA6CE7AD65C}"/>
            </c:ext>
          </c:extLst>
        </c:ser>
        <c:ser>
          <c:idx val="24"/>
          <c:order val="24"/>
          <c:tx>
            <c:strRef>
              <c:f>'Communication Services'!$B$27</c:f>
              <c:strCache>
                <c:ptCount val="1"/>
                <c:pt idx="0">
                  <c:v>GOOGL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Services'!$C$27:$BM$27</c:f>
              <c:numCache>
                <c:formatCode>General</c:formatCode>
                <c:ptCount val="63"/>
                <c:pt idx="0">
                  <c:v>1</c:v>
                </c:pt>
                <c:pt idx="1">
                  <c:v>1.0106847791547506</c:v>
                </c:pt>
                <c:pt idx="2">
                  <c:v>1.0244756911344137</c:v>
                </c:pt>
                <c:pt idx="3">
                  <c:v>1.0259294566253576</c:v>
                </c:pt>
                <c:pt idx="4">
                  <c:v>1.0255878614553544</c:v>
                </c:pt>
                <c:pt idx="5">
                  <c:v>1.0382427708929138</c:v>
                </c:pt>
                <c:pt idx="6">
                  <c:v>1.0398792500794407</c:v>
                </c:pt>
                <c:pt idx="7">
                  <c:v>1.0313632030505242</c:v>
                </c:pt>
                <c:pt idx="8">
                  <c:v>1.0305131871623767</c:v>
                </c:pt>
                <c:pt idx="9">
                  <c:v>1.0296949475691133</c:v>
                </c:pt>
                <c:pt idx="10">
                  <c:v>1.0399984111852556</c:v>
                </c:pt>
                <c:pt idx="11">
                  <c:v>1.0593740069907847</c:v>
                </c:pt>
                <c:pt idx="12">
                  <c:v>1.0484906259930089</c:v>
                </c:pt>
                <c:pt idx="13">
                  <c:v>1.0427311725452808</c:v>
                </c:pt>
                <c:pt idx="14">
                  <c:v>1.0342071814426432</c:v>
                </c:pt>
                <c:pt idx="15">
                  <c:v>1.0328408007626306</c:v>
                </c:pt>
                <c:pt idx="16">
                  <c:v>1.0277009850651408</c:v>
                </c:pt>
                <c:pt idx="17">
                  <c:v>1.0372100413091829</c:v>
                </c:pt>
                <c:pt idx="18">
                  <c:v>1.0430568795678419</c:v>
                </c:pt>
                <c:pt idx="19">
                  <c:v>1.0423657451541146</c:v>
                </c:pt>
                <c:pt idx="20">
                  <c:v>1.0359787098824271</c:v>
                </c:pt>
                <c:pt idx="21">
                  <c:v>1.0238798856053377</c:v>
                </c:pt>
                <c:pt idx="22">
                  <c:v>1.0285510009532883</c:v>
                </c:pt>
                <c:pt idx="23">
                  <c:v>1.0477756593581182</c:v>
                </c:pt>
                <c:pt idx="24">
                  <c:v>1.0541468064823636</c:v>
                </c:pt>
                <c:pt idx="25">
                  <c:v>1.0640212901175718</c:v>
                </c:pt>
                <c:pt idx="26">
                  <c:v>1.0668811566571332</c:v>
                </c:pt>
                <c:pt idx="27">
                  <c:v>1.0668017159199232</c:v>
                </c:pt>
                <c:pt idx="28">
                  <c:v>1.0678821099459797</c:v>
                </c:pt>
                <c:pt idx="29">
                  <c:v>1.0712503972036855</c:v>
                </c:pt>
                <c:pt idx="30">
                  <c:v>1.0699634572608827</c:v>
                </c:pt>
                <c:pt idx="31">
                  <c:v>1.0809501112170317</c:v>
                </c:pt>
                <c:pt idx="32">
                  <c:v>1.0763346043851283</c:v>
                </c:pt>
                <c:pt idx="33">
                  <c:v>1.073967270416269</c:v>
                </c:pt>
                <c:pt idx="34">
                  <c:v>1.0775659358118839</c:v>
                </c:pt>
                <c:pt idx="35">
                  <c:v>1.0734191293295197</c:v>
                </c:pt>
                <c:pt idx="36">
                  <c:v>1.0729504289799805</c:v>
                </c:pt>
                <c:pt idx="37">
                  <c:v>1.068025103272958</c:v>
                </c:pt>
                <c:pt idx="38">
                  <c:v>1.0823562122656494</c:v>
                </c:pt>
                <c:pt idx="39">
                  <c:v>1.0761360025421032</c:v>
                </c:pt>
                <c:pt idx="40">
                  <c:v>1.064275500476644</c:v>
                </c:pt>
                <c:pt idx="41">
                  <c:v>1.0640212901175718</c:v>
                </c:pt>
                <c:pt idx="42">
                  <c:v>1.087289482046393</c:v>
                </c:pt>
                <c:pt idx="43">
                  <c:v>1.081601525262154</c:v>
                </c:pt>
                <c:pt idx="44">
                  <c:v>1.1104305687956779</c:v>
                </c:pt>
                <c:pt idx="45">
                  <c:v>1.1082856688910068</c:v>
                </c:pt>
                <c:pt idx="46">
                  <c:v>1.1161741340959639</c:v>
                </c:pt>
                <c:pt idx="47">
                  <c:v>1.127891642834445</c:v>
                </c:pt>
                <c:pt idx="48">
                  <c:v>1.1351763584366057</c:v>
                </c:pt>
                <c:pt idx="49">
                  <c:v>1.1439704480457571</c:v>
                </c:pt>
                <c:pt idx="50">
                  <c:v>1.1364712424531291</c:v>
                </c:pt>
                <c:pt idx="51">
                  <c:v>1.1433110899269139</c:v>
                </c:pt>
                <c:pt idx="52">
                  <c:v>1.1520177947251344</c:v>
                </c:pt>
                <c:pt idx="53">
                  <c:v>1.1753415951700026</c:v>
                </c:pt>
                <c:pt idx="54">
                  <c:v>1.1775103272958367</c:v>
                </c:pt>
                <c:pt idx="55">
                  <c:v>1.1790355894502695</c:v>
                </c:pt>
                <c:pt idx="56">
                  <c:v>1.1794486812837617</c:v>
                </c:pt>
                <c:pt idx="57">
                  <c:v>1.1647362567524622</c:v>
                </c:pt>
                <c:pt idx="58">
                  <c:v>1.1373768668573239</c:v>
                </c:pt>
                <c:pt idx="59">
                  <c:v>1.1522878932316487</c:v>
                </c:pt>
                <c:pt idx="60">
                  <c:v>1.1572132189386712</c:v>
                </c:pt>
                <c:pt idx="61">
                  <c:v>1.1552669208770252</c:v>
                </c:pt>
                <c:pt idx="62">
                  <c:v>1.1382109945980294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8-53C4-4E64-85E3-1FA6CE7AD65C}"/>
            </c:ext>
          </c:extLst>
        </c:ser>
        <c:ser>
          <c:idx val="26"/>
          <c:order val="26"/>
          <c:tx>
            <c:strRef>
              <c:f>'Communication Services'!$B$29</c:f>
              <c:strCache>
                <c:ptCount val="1"/>
                <c:pt idx="0">
                  <c:v>ATVI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'Communication Services'!$C$2:$BM$2</c:f>
              <c:numCache>
                <c:formatCode>m/d/yy</c:formatCode>
                <c:ptCount val="63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43787</c:v>
                </c:pt>
                <c:pt idx="13">
                  <c:v>43788</c:v>
                </c:pt>
                <c:pt idx="14">
                  <c:v>43789</c:v>
                </c:pt>
                <c:pt idx="15">
                  <c:v>43790</c:v>
                </c:pt>
                <c:pt idx="16">
                  <c:v>43791</c:v>
                </c:pt>
                <c:pt idx="17">
                  <c:v>43794</c:v>
                </c:pt>
                <c:pt idx="18">
                  <c:v>43795</c:v>
                </c:pt>
                <c:pt idx="19">
                  <c:v>43796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43811</c:v>
                </c:pt>
                <c:pt idx="30">
                  <c:v>43812</c:v>
                </c:pt>
                <c:pt idx="31">
                  <c:v>43815</c:v>
                </c:pt>
                <c:pt idx="32">
                  <c:v>43816</c:v>
                </c:pt>
                <c:pt idx="33">
                  <c:v>43817</c:v>
                </c:pt>
                <c:pt idx="34">
                  <c:v>43818</c:v>
                </c:pt>
                <c:pt idx="35">
                  <c:v>43819</c:v>
                </c:pt>
                <c:pt idx="36">
                  <c:v>43822</c:v>
                </c:pt>
                <c:pt idx="37">
                  <c:v>43823</c:v>
                </c:pt>
                <c:pt idx="38">
                  <c:v>43825</c:v>
                </c:pt>
                <c:pt idx="39">
                  <c:v>43826</c:v>
                </c:pt>
                <c:pt idx="40">
                  <c:v>43829</c:v>
                </c:pt>
                <c:pt idx="41">
                  <c:v>43830</c:v>
                </c:pt>
                <c:pt idx="42">
                  <c:v>43832</c:v>
                </c:pt>
                <c:pt idx="43">
                  <c:v>43833</c:v>
                </c:pt>
                <c:pt idx="44">
                  <c:v>43836</c:v>
                </c:pt>
                <c:pt idx="45">
                  <c:v>43837</c:v>
                </c:pt>
                <c:pt idx="46">
                  <c:v>43838</c:v>
                </c:pt>
                <c:pt idx="47">
                  <c:v>43839</c:v>
                </c:pt>
                <c:pt idx="48">
                  <c:v>43840</c:v>
                </c:pt>
                <c:pt idx="49">
                  <c:v>43843</c:v>
                </c:pt>
                <c:pt idx="50">
                  <c:v>43844</c:v>
                </c:pt>
                <c:pt idx="51">
                  <c:v>43845</c:v>
                </c:pt>
                <c:pt idx="52">
                  <c:v>43846</c:v>
                </c:pt>
                <c:pt idx="53">
                  <c:v>43847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</c:numCache>
            </c:numRef>
          </c:cat>
          <c:val>
            <c:numRef>
              <c:f>'Communication Services'!$C$29:$BM$29</c:f>
              <c:numCache>
                <c:formatCode>General</c:formatCode>
                <c:ptCount val="63"/>
                <c:pt idx="0">
                  <c:v>1</c:v>
                </c:pt>
                <c:pt idx="1">
                  <c:v>0.99625200785293588</c:v>
                </c:pt>
                <c:pt idx="2">
                  <c:v>0.99428877387114045</c:v>
                </c:pt>
                <c:pt idx="3">
                  <c:v>0.99125468499018377</c:v>
                </c:pt>
                <c:pt idx="4">
                  <c:v>1.0058897019453865</c:v>
                </c:pt>
                <c:pt idx="5">
                  <c:v>0.97358557915402466</c:v>
                </c:pt>
                <c:pt idx="6">
                  <c:v>0.96912368374085311</c:v>
                </c:pt>
                <c:pt idx="7">
                  <c:v>0.93735498839907205</c:v>
                </c:pt>
                <c:pt idx="8">
                  <c:v>0.92718186685704107</c:v>
                </c:pt>
                <c:pt idx="9">
                  <c:v>0.93396394788506176</c:v>
                </c:pt>
                <c:pt idx="10">
                  <c:v>0.94056755309655571</c:v>
                </c:pt>
                <c:pt idx="11">
                  <c:v>0.95377476351954327</c:v>
                </c:pt>
                <c:pt idx="12">
                  <c:v>0.94110298054613617</c:v>
                </c:pt>
                <c:pt idx="13">
                  <c:v>0.95091915045511344</c:v>
                </c:pt>
                <c:pt idx="14">
                  <c:v>0.96528645368552568</c:v>
                </c:pt>
                <c:pt idx="15">
                  <c:v>0.95823665893271459</c:v>
                </c:pt>
                <c:pt idx="16">
                  <c:v>0.94663573085846864</c:v>
                </c:pt>
                <c:pt idx="17">
                  <c:v>0.95895056219882202</c:v>
                </c:pt>
                <c:pt idx="18">
                  <c:v>0.96680349812600397</c:v>
                </c:pt>
                <c:pt idx="19">
                  <c:v>0.97233624843833644</c:v>
                </c:pt>
                <c:pt idx="20">
                  <c:v>0.97858290201677656</c:v>
                </c:pt>
                <c:pt idx="21">
                  <c:v>0.96787435302516489</c:v>
                </c:pt>
                <c:pt idx="22">
                  <c:v>0.97429948242013198</c:v>
                </c:pt>
                <c:pt idx="23">
                  <c:v>0.96162769944672488</c:v>
                </c:pt>
                <c:pt idx="24">
                  <c:v>0.9814385150812065</c:v>
                </c:pt>
                <c:pt idx="25">
                  <c:v>0.98536498304479736</c:v>
                </c:pt>
                <c:pt idx="26">
                  <c:v>0.97072996608959483</c:v>
                </c:pt>
                <c:pt idx="27">
                  <c:v>0.99839371765125817</c:v>
                </c:pt>
                <c:pt idx="28">
                  <c:v>1.0080314117437086</c:v>
                </c:pt>
                <c:pt idx="29">
                  <c:v>1.0451543815812956</c:v>
                </c:pt>
                <c:pt idx="30">
                  <c:v>1.0467606639300373</c:v>
                </c:pt>
                <c:pt idx="31">
                  <c:v>1.0460467606639299</c:v>
                </c:pt>
                <c:pt idx="32">
                  <c:v>1.0398001070854899</c:v>
                </c:pt>
                <c:pt idx="33">
                  <c:v>1.0533642691415313</c:v>
                </c:pt>
                <c:pt idx="34">
                  <c:v>1.0553275031233267</c:v>
                </c:pt>
                <c:pt idx="35">
                  <c:v>1.0569337854720682</c:v>
                </c:pt>
                <c:pt idx="36">
                  <c:v>1.0510440835266819</c:v>
                </c:pt>
                <c:pt idx="37">
                  <c:v>1.049616276994467</c:v>
                </c:pt>
                <c:pt idx="38">
                  <c:v>1.0510440835266819</c:v>
                </c:pt>
                <c:pt idx="39">
                  <c:v>1.0563091201142245</c:v>
                </c:pt>
                <c:pt idx="40">
                  <c:v>1.0508656077101552</c:v>
                </c:pt>
                <c:pt idx="41">
                  <c:v>1.0605033018026055</c:v>
                </c:pt>
                <c:pt idx="42">
                  <c:v>1.0467606639300373</c:v>
                </c:pt>
                <c:pt idx="43">
                  <c:v>1.0471176155630912</c:v>
                </c:pt>
                <c:pt idx="44">
                  <c:v>1.0662145279314654</c:v>
                </c:pt>
                <c:pt idx="45">
                  <c:v>1.0768338390148138</c:v>
                </c:pt>
                <c:pt idx="46">
                  <c:v>1.0687131893628417</c:v>
                </c:pt>
                <c:pt idx="47">
                  <c:v>1.0590754952703911</c:v>
                </c:pt>
                <c:pt idx="48">
                  <c:v>1.0521149384258437</c:v>
                </c:pt>
                <c:pt idx="49">
                  <c:v>1.0572907371051226</c:v>
                </c:pt>
                <c:pt idx="50">
                  <c:v>1.0717472782437982</c:v>
                </c:pt>
                <c:pt idx="51">
                  <c:v>1.0644297697661971</c:v>
                </c:pt>
                <c:pt idx="52">
                  <c:v>1.078529359271819</c:v>
                </c:pt>
                <c:pt idx="53">
                  <c:v>1.0929859004104949</c:v>
                </c:pt>
                <c:pt idx="54">
                  <c:v>1.0961984651079786</c:v>
                </c:pt>
                <c:pt idx="55">
                  <c:v>1.0765661252900238</c:v>
                </c:pt>
                <c:pt idx="56">
                  <c:v>1.0731750847760135</c:v>
                </c:pt>
                <c:pt idx="57">
                  <c:v>1.0601463501695527</c:v>
                </c:pt>
                <c:pt idx="58">
                  <c:v>1.0408709619846517</c:v>
                </c:pt>
                <c:pt idx="59">
                  <c:v>1.071390326610745</c:v>
                </c:pt>
                <c:pt idx="60">
                  <c:v>1.0779939318222387</c:v>
                </c:pt>
                <c:pt idx="61">
                  <c:v>1.0867392468320549</c:v>
                </c:pt>
                <c:pt idx="62">
                  <c:v>1.0437265750490814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A-53C4-4E64-85E3-1FA6CE7AD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0959344"/>
        <c:axId val="10109439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'Communication Services'!$B$3</c15:sqref>
                        </c15:formulaRef>
                      </c:ext>
                    </c:extLst>
                    <c:strCache>
                      <c:ptCount val="1"/>
                      <c:pt idx="0">
                        <c:v>COMMUNICATION SERVICES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'Communication Services'!$C$3:$BM$3</c15:sqref>
                        </c15:formulaRef>
                      </c:ext>
                    </c:extLst>
                    <c:numCache>
                      <c:formatCode>0.00</c:formatCode>
                      <c:ptCount val="63"/>
                      <c:pt idx="0">
                        <c:v>99994.18</c:v>
                      </c:pt>
                      <c:pt idx="1">
                        <c:v>100898.47</c:v>
                      </c:pt>
                      <c:pt idx="2">
                        <c:v>101111.13</c:v>
                      </c:pt>
                      <c:pt idx="3">
                        <c:v>100593.94</c:v>
                      </c:pt>
                      <c:pt idx="4">
                        <c:v>100248.51</c:v>
                      </c:pt>
                      <c:pt idx="5">
                        <c:v>100662.13</c:v>
                      </c:pt>
                      <c:pt idx="6">
                        <c:v>101155.6</c:v>
                      </c:pt>
                      <c:pt idx="7">
                        <c:v>100102.91</c:v>
                      </c:pt>
                      <c:pt idx="8">
                        <c:v>100548.23000000001</c:v>
                      </c:pt>
                      <c:pt idx="9">
                        <c:v>101701.05</c:v>
                      </c:pt>
                      <c:pt idx="10">
                        <c:v>101963.77000000002</c:v>
                      </c:pt>
                      <c:pt idx="11">
                        <c:v>102890.17</c:v>
                      </c:pt>
                      <c:pt idx="12">
                        <c:v>103156.61000000002</c:v>
                      </c:pt>
                      <c:pt idx="13">
                        <c:v>103116.75</c:v>
                      </c:pt>
                      <c:pt idx="14">
                        <c:v>102303.465</c:v>
                      </c:pt>
                      <c:pt idx="15">
                        <c:v>102241.23</c:v>
                      </c:pt>
                      <c:pt idx="16">
                        <c:v>102183.95000000001</c:v>
                      </c:pt>
                      <c:pt idx="17">
                        <c:v>102687.6</c:v>
                      </c:pt>
                      <c:pt idx="18">
                        <c:v>103317.45</c:v>
                      </c:pt>
                      <c:pt idx="19">
                        <c:v>103710.39</c:v>
                      </c:pt>
                      <c:pt idx="20">
                        <c:v>103571.28</c:v>
                      </c:pt>
                      <c:pt idx="21">
                        <c:v>102415.85</c:v>
                      </c:pt>
                      <c:pt idx="22">
                        <c:v>102356.01999999999</c:v>
                      </c:pt>
                      <c:pt idx="23">
                        <c:v>102776.44</c:v>
                      </c:pt>
                      <c:pt idx="24">
                        <c:v>103274.68000000001</c:v>
                      </c:pt>
                      <c:pt idx="25">
                        <c:v>103782.92000000001</c:v>
                      </c:pt>
                      <c:pt idx="26">
                        <c:v>103459.51000000001</c:v>
                      </c:pt>
                      <c:pt idx="27">
                        <c:v>103882.47</c:v>
                      </c:pt>
                      <c:pt idx="28">
                        <c:v>104459.31000000001</c:v>
                      </c:pt>
                      <c:pt idx="29">
                        <c:v>104677.7</c:v>
                      </c:pt>
                      <c:pt idx="30">
                        <c:v>104642.18</c:v>
                      </c:pt>
                      <c:pt idx="31">
                        <c:v>105732.1</c:v>
                      </c:pt>
                      <c:pt idx="32">
                        <c:v>105251.06</c:v>
                      </c:pt>
                      <c:pt idx="33">
                        <c:v>105736.78999999998</c:v>
                      </c:pt>
                      <c:pt idx="34">
                        <c:v>107218.09000000001</c:v>
                      </c:pt>
                      <c:pt idx="35">
                        <c:v>107674.49</c:v>
                      </c:pt>
                      <c:pt idx="36">
                        <c:v>107335.89</c:v>
                      </c:pt>
                      <c:pt idx="37">
                        <c:v>107220.39</c:v>
                      </c:pt>
                      <c:pt idx="38">
                        <c:v>108275.08</c:v>
                      </c:pt>
                      <c:pt idx="39">
                        <c:v>108466.545</c:v>
                      </c:pt>
                      <c:pt idx="40">
                        <c:v>107216.76000000001</c:v>
                      </c:pt>
                      <c:pt idx="41">
                        <c:v>107416.22</c:v>
                      </c:pt>
                      <c:pt idx="42">
                        <c:v>109029.31</c:v>
                      </c:pt>
                      <c:pt idx="43">
                        <c:v>108596.97</c:v>
                      </c:pt>
                      <c:pt idx="44">
                        <c:v>110072.54</c:v>
                      </c:pt>
                      <c:pt idx="45">
                        <c:v>110184.745</c:v>
                      </c:pt>
                      <c:pt idx="46">
                        <c:v>110702.29000000001</c:v>
                      </c:pt>
                      <c:pt idx="47">
                        <c:v>111112.29999999999</c:v>
                      </c:pt>
                      <c:pt idx="48">
                        <c:v>111322.92000000001</c:v>
                      </c:pt>
                      <c:pt idx="49">
                        <c:v>112225.83</c:v>
                      </c:pt>
                      <c:pt idx="50">
                        <c:v>112099.35</c:v>
                      </c:pt>
                      <c:pt idx="51">
                        <c:v>112459.61</c:v>
                      </c:pt>
                      <c:pt idx="52">
                        <c:v>113328.44000000002</c:v>
                      </c:pt>
                      <c:pt idx="53">
                        <c:v>114051.91</c:v>
                      </c:pt>
                      <c:pt idx="54">
                        <c:v>113828.23</c:v>
                      </c:pt>
                      <c:pt idx="55">
                        <c:v>113723.38</c:v>
                      </c:pt>
                      <c:pt idx="56">
                        <c:v>113040.17</c:v>
                      </c:pt>
                      <c:pt idx="57">
                        <c:v>111505.95</c:v>
                      </c:pt>
                      <c:pt idx="58">
                        <c:v>109372.86</c:v>
                      </c:pt>
                      <c:pt idx="59">
                        <c:v>110874.28</c:v>
                      </c:pt>
                      <c:pt idx="60">
                        <c:v>110568.29</c:v>
                      </c:pt>
                      <c:pt idx="61">
                        <c:v>109520.72</c:v>
                      </c:pt>
                      <c:pt idx="62">
                        <c:v>107261.85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C4-4E64-85E3-1FA6CE7AD65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Services'!$B$4</c15:sqref>
                        </c15:formulaRef>
                      </c:ext>
                    </c:extLst>
                    <c:strCache>
                      <c:ptCount val="1"/>
                      <c:pt idx="0">
                        <c:v>S5TELS INDEX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Services'!$C$4:$BM$4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171.82</c:v>
                      </c:pt>
                      <c:pt idx="1">
                        <c:v>173.25</c:v>
                      </c:pt>
                      <c:pt idx="2">
                        <c:v>173.95</c:v>
                      </c:pt>
                      <c:pt idx="3">
                        <c:v>173.83</c:v>
                      </c:pt>
                      <c:pt idx="4">
                        <c:v>173.48</c:v>
                      </c:pt>
                      <c:pt idx="5">
                        <c:v>174.64</c:v>
                      </c:pt>
                      <c:pt idx="6">
                        <c:v>175.28</c:v>
                      </c:pt>
                      <c:pt idx="7">
                        <c:v>174.59</c:v>
                      </c:pt>
                      <c:pt idx="8">
                        <c:v>175.11</c:v>
                      </c:pt>
                      <c:pt idx="9">
                        <c:v>175.85</c:v>
                      </c:pt>
                      <c:pt idx="10">
                        <c:v>176.38</c:v>
                      </c:pt>
                      <c:pt idx="11">
                        <c:v>177.63</c:v>
                      </c:pt>
                      <c:pt idx="12">
                        <c:v>178.12</c:v>
                      </c:pt>
                      <c:pt idx="13">
                        <c:v>177.66</c:v>
                      </c:pt>
                      <c:pt idx="14">
                        <c:v>176.25</c:v>
                      </c:pt>
                      <c:pt idx="15">
                        <c:v>176.69</c:v>
                      </c:pt>
                      <c:pt idx="16">
                        <c:v>176.92</c:v>
                      </c:pt>
                      <c:pt idx="17">
                        <c:v>177.13</c:v>
                      </c:pt>
                      <c:pt idx="18">
                        <c:v>177.77</c:v>
                      </c:pt>
                      <c:pt idx="19">
                        <c:v>178.89</c:v>
                      </c:pt>
                      <c:pt idx="20">
                        <c:v>178.24</c:v>
                      </c:pt>
                      <c:pt idx="21">
                        <c:v>176.69</c:v>
                      </c:pt>
                      <c:pt idx="22">
                        <c:v>176.54</c:v>
                      </c:pt>
                      <c:pt idx="23">
                        <c:v>177.67</c:v>
                      </c:pt>
                      <c:pt idx="24">
                        <c:v>178.36</c:v>
                      </c:pt>
                      <c:pt idx="25">
                        <c:v>179.48</c:v>
                      </c:pt>
                      <c:pt idx="26">
                        <c:v>178.96</c:v>
                      </c:pt>
                      <c:pt idx="27">
                        <c:v>178.32</c:v>
                      </c:pt>
                      <c:pt idx="28">
                        <c:v>178.86</c:v>
                      </c:pt>
                      <c:pt idx="29">
                        <c:v>178.85</c:v>
                      </c:pt>
                      <c:pt idx="30">
                        <c:v>178.27</c:v>
                      </c:pt>
                      <c:pt idx="31">
                        <c:v>180.12</c:v>
                      </c:pt>
                      <c:pt idx="32">
                        <c:v>180.14</c:v>
                      </c:pt>
                      <c:pt idx="33">
                        <c:v>180.67</c:v>
                      </c:pt>
                      <c:pt idx="34">
                        <c:v>182.1</c:v>
                      </c:pt>
                      <c:pt idx="35">
                        <c:v>182.8</c:v>
                      </c:pt>
                      <c:pt idx="36">
                        <c:v>182.18</c:v>
                      </c:pt>
                      <c:pt idx="37">
                        <c:v>181.94</c:v>
                      </c:pt>
                      <c:pt idx="38">
                        <c:v>183.42</c:v>
                      </c:pt>
                      <c:pt idx="39">
                        <c:v>183.16</c:v>
                      </c:pt>
                      <c:pt idx="40">
                        <c:v>181.28</c:v>
                      </c:pt>
                      <c:pt idx="41">
                        <c:v>181.64</c:v>
                      </c:pt>
                      <c:pt idx="42">
                        <c:v>184.03</c:v>
                      </c:pt>
                      <c:pt idx="43">
                        <c:v>183.01</c:v>
                      </c:pt>
                      <c:pt idx="44">
                        <c:v>185.24</c:v>
                      </c:pt>
                      <c:pt idx="45">
                        <c:v>185.17</c:v>
                      </c:pt>
                      <c:pt idx="46">
                        <c:v>186.44</c:v>
                      </c:pt>
                      <c:pt idx="47">
                        <c:v>186.92</c:v>
                      </c:pt>
                      <c:pt idx="48">
                        <c:v>186.63</c:v>
                      </c:pt>
                      <c:pt idx="49">
                        <c:v>188.08</c:v>
                      </c:pt>
                      <c:pt idx="50">
                        <c:v>187.52</c:v>
                      </c:pt>
                      <c:pt idx="51">
                        <c:v>188.15</c:v>
                      </c:pt>
                      <c:pt idx="52">
                        <c:v>189.4</c:v>
                      </c:pt>
                      <c:pt idx="53">
                        <c:v>191.1</c:v>
                      </c:pt>
                      <c:pt idx="54">
                        <c:v>191.01</c:v>
                      </c:pt>
                      <c:pt idx="55">
                        <c:v>191.12</c:v>
                      </c:pt>
                      <c:pt idx="56">
                        <c:v>190.47</c:v>
                      </c:pt>
                      <c:pt idx="57">
                        <c:v>188.48</c:v>
                      </c:pt>
                      <c:pt idx="58">
                        <c:v>185.29</c:v>
                      </c:pt>
                      <c:pt idx="59">
                        <c:v>187.48</c:v>
                      </c:pt>
                      <c:pt idx="60">
                        <c:v>186.67</c:v>
                      </c:pt>
                      <c:pt idx="61">
                        <c:v>185.19</c:v>
                      </c:pt>
                      <c:pt idx="62">
                        <c:v>182.84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3C4-4E64-85E3-1FA6CE7AD65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Services'!$B$5</c15:sqref>
                        </c15:formulaRef>
                      </c:ext>
                    </c:extLst>
                    <c:strCache>
                      <c:ptCount val="1"/>
                      <c:pt idx="0">
                        <c:v>SPX INDEX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Services'!$C$5:$BM$5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3037.56</c:v>
                      </c:pt>
                      <c:pt idx="1">
                        <c:v>3066.91</c:v>
                      </c:pt>
                      <c:pt idx="2">
                        <c:v>3078.27</c:v>
                      </c:pt>
                      <c:pt idx="3">
                        <c:v>3074.62</c:v>
                      </c:pt>
                      <c:pt idx="4">
                        <c:v>3076.78</c:v>
                      </c:pt>
                      <c:pt idx="5">
                        <c:v>3085.18</c:v>
                      </c:pt>
                      <c:pt idx="6">
                        <c:v>3093.08</c:v>
                      </c:pt>
                      <c:pt idx="7">
                        <c:v>3087.01</c:v>
                      </c:pt>
                      <c:pt idx="8">
                        <c:v>3091.84</c:v>
                      </c:pt>
                      <c:pt idx="9">
                        <c:v>3094.04</c:v>
                      </c:pt>
                      <c:pt idx="10">
                        <c:v>3096.63</c:v>
                      </c:pt>
                      <c:pt idx="11">
                        <c:v>3120.46</c:v>
                      </c:pt>
                      <c:pt idx="12">
                        <c:v>3122.03</c:v>
                      </c:pt>
                      <c:pt idx="13">
                        <c:v>3120.18</c:v>
                      </c:pt>
                      <c:pt idx="14">
                        <c:v>3108.46</c:v>
                      </c:pt>
                      <c:pt idx="15">
                        <c:v>3103.54</c:v>
                      </c:pt>
                      <c:pt idx="16">
                        <c:v>3110.29</c:v>
                      </c:pt>
                      <c:pt idx="17">
                        <c:v>3133.64</c:v>
                      </c:pt>
                      <c:pt idx="18">
                        <c:v>3140.52</c:v>
                      </c:pt>
                      <c:pt idx="19">
                        <c:v>3153.63</c:v>
                      </c:pt>
                      <c:pt idx="20">
                        <c:v>3140.98</c:v>
                      </c:pt>
                      <c:pt idx="21">
                        <c:v>3113.87</c:v>
                      </c:pt>
                      <c:pt idx="22">
                        <c:v>3093.2</c:v>
                      </c:pt>
                      <c:pt idx="23">
                        <c:v>3112.76</c:v>
                      </c:pt>
                      <c:pt idx="24">
                        <c:v>3117.43</c:v>
                      </c:pt>
                      <c:pt idx="25">
                        <c:v>3145.91</c:v>
                      </c:pt>
                      <c:pt idx="26">
                        <c:v>3135.96</c:v>
                      </c:pt>
                      <c:pt idx="27">
                        <c:v>3132.52</c:v>
                      </c:pt>
                      <c:pt idx="28">
                        <c:v>3141.63</c:v>
                      </c:pt>
                      <c:pt idx="29">
                        <c:v>3168.57</c:v>
                      </c:pt>
                      <c:pt idx="30">
                        <c:v>3168.8</c:v>
                      </c:pt>
                      <c:pt idx="31">
                        <c:v>3191.45</c:v>
                      </c:pt>
                      <c:pt idx="32">
                        <c:v>3192.52</c:v>
                      </c:pt>
                      <c:pt idx="33">
                        <c:v>3191.14</c:v>
                      </c:pt>
                      <c:pt idx="34">
                        <c:v>3205.37</c:v>
                      </c:pt>
                      <c:pt idx="35">
                        <c:v>3221.22</c:v>
                      </c:pt>
                      <c:pt idx="36">
                        <c:v>3224.01</c:v>
                      </c:pt>
                      <c:pt idx="37">
                        <c:v>3223.38</c:v>
                      </c:pt>
                      <c:pt idx="38">
                        <c:v>3239.91</c:v>
                      </c:pt>
                      <c:pt idx="39">
                        <c:v>3240.02</c:v>
                      </c:pt>
                      <c:pt idx="40">
                        <c:v>3221.29</c:v>
                      </c:pt>
                      <c:pt idx="41">
                        <c:v>3230.78</c:v>
                      </c:pt>
                      <c:pt idx="42">
                        <c:v>3257.85</c:v>
                      </c:pt>
                      <c:pt idx="43">
                        <c:v>3234.85</c:v>
                      </c:pt>
                      <c:pt idx="44">
                        <c:v>3246.28</c:v>
                      </c:pt>
                      <c:pt idx="45">
                        <c:v>3237.18</c:v>
                      </c:pt>
                      <c:pt idx="46">
                        <c:v>3253.05</c:v>
                      </c:pt>
                      <c:pt idx="47">
                        <c:v>3274.7</c:v>
                      </c:pt>
                      <c:pt idx="48">
                        <c:v>3265.35</c:v>
                      </c:pt>
                      <c:pt idx="49">
                        <c:v>3288.13</c:v>
                      </c:pt>
                      <c:pt idx="50">
                        <c:v>3283.15</c:v>
                      </c:pt>
                      <c:pt idx="51">
                        <c:v>3289.29</c:v>
                      </c:pt>
                      <c:pt idx="52">
                        <c:v>3316.81</c:v>
                      </c:pt>
                      <c:pt idx="53">
                        <c:v>3329.62</c:v>
                      </c:pt>
                      <c:pt idx="54">
                        <c:v>3320.79</c:v>
                      </c:pt>
                      <c:pt idx="55">
                        <c:v>3321.75</c:v>
                      </c:pt>
                      <c:pt idx="56">
                        <c:v>3325.54</c:v>
                      </c:pt>
                      <c:pt idx="57">
                        <c:v>3295.47</c:v>
                      </c:pt>
                      <c:pt idx="58">
                        <c:v>3243.63</c:v>
                      </c:pt>
                      <c:pt idx="59">
                        <c:v>3276.24</c:v>
                      </c:pt>
                      <c:pt idx="60">
                        <c:v>3273.4</c:v>
                      </c:pt>
                      <c:pt idx="61">
                        <c:v>3283.66</c:v>
                      </c:pt>
                      <c:pt idx="62">
                        <c:v>3225.52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C4-4E64-85E3-1FA6CE7AD65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Services'!$B$6</c15:sqref>
                        </c15:formulaRef>
                      </c:ext>
                    </c:extLst>
                    <c:strCache>
                      <c:ptCount val="1"/>
                      <c:pt idx="0">
                        <c:v>FB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Services'!$C$6:$BM$6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191.65</c:v>
                      </c:pt>
                      <c:pt idx="1">
                        <c:v>193.62</c:v>
                      </c:pt>
                      <c:pt idx="2">
                        <c:v>194.72</c:v>
                      </c:pt>
                      <c:pt idx="3">
                        <c:v>194.32</c:v>
                      </c:pt>
                      <c:pt idx="4">
                        <c:v>191.55</c:v>
                      </c:pt>
                      <c:pt idx="5">
                        <c:v>190.42</c:v>
                      </c:pt>
                      <c:pt idx="6">
                        <c:v>190.84</c:v>
                      </c:pt>
                      <c:pt idx="7">
                        <c:v>189.61</c:v>
                      </c:pt>
                      <c:pt idx="8">
                        <c:v>194.47</c:v>
                      </c:pt>
                      <c:pt idx="9">
                        <c:v>193.19</c:v>
                      </c:pt>
                      <c:pt idx="10">
                        <c:v>193.15</c:v>
                      </c:pt>
                      <c:pt idx="11">
                        <c:v>195.1</c:v>
                      </c:pt>
                      <c:pt idx="12">
                        <c:v>197.4</c:v>
                      </c:pt>
                      <c:pt idx="13">
                        <c:v>199.32</c:v>
                      </c:pt>
                      <c:pt idx="14">
                        <c:v>197.51</c:v>
                      </c:pt>
                      <c:pt idx="15">
                        <c:v>197.93</c:v>
                      </c:pt>
                      <c:pt idx="16">
                        <c:v>198.82</c:v>
                      </c:pt>
                      <c:pt idx="17">
                        <c:v>199.79</c:v>
                      </c:pt>
                      <c:pt idx="18">
                        <c:v>198.97</c:v>
                      </c:pt>
                      <c:pt idx="19">
                        <c:v>202</c:v>
                      </c:pt>
                      <c:pt idx="20">
                        <c:v>201.64</c:v>
                      </c:pt>
                      <c:pt idx="21">
                        <c:v>199.7</c:v>
                      </c:pt>
                      <c:pt idx="22">
                        <c:v>198.82</c:v>
                      </c:pt>
                      <c:pt idx="23">
                        <c:v>198.71</c:v>
                      </c:pt>
                      <c:pt idx="24">
                        <c:v>199.36</c:v>
                      </c:pt>
                      <c:pt idx="25">
                        <c:v>201.05</c:v>
                      </c:pt>
                      <c:pt idx="26">
                        <c:v>201.34</c:v>
                      </c:pt>
                      <c:pt idx="27">
                        <c:v>200.87</c:v>
                      </c:pt>
                      <c:pt idx="28">
                        <c:v>202.26</c:v>
                      </c:pt>
                      <c:pt idx="29">
                        <c:v>196.75</c:v>
                      </c:pt>
                      <c:pt idx="30">
                        <c:v>194.11</c:v>
                      </c:pt>
                      <c:pt idx="31">
                        <c:v>197.92</c:v>
                      </c:pt>
                      <c:pt idx="32">
                        <c:v>198.39</c:v>
                      </c:pt>
                      <c:pt idx="33">
                        <c:v>202.5</c:v>
                      </c:pt>
                      <c:pt idx="34">
                        <c:v>206.06</c:v>
                      </c:pt>
                      <c:pt idx="35">
                        <c:v>206.3</c:v>
                      </c:pt>
                      <c:pt idx="36">
                        <c:v>206.18</c:v>
                      </c:pt>
                      <c:pt idx="37">
                        <c:v>205.12</c:v>
                      </c:pt>
                      <c:pt idx="38">
                        <c:v>207.79</c:v>
                      </c:pt>
                      <c:pt idx="39">
                        <c:v>208.1</c:v>
                      </c:pt>
                      <c:pt idx="40">
                        <c:v>204.41</c:v>
                      </c:pt>
                      <c:pt idx="41">
                        <c:v>205.25</c:v>
                      </c:pt>
                      <c:pt idx="42">
                        <c:v>209.78</c:v>
                      </c:pt>
                      <c:pt idx="43">
                        <c:v>208.67</c:v>
                      </c:pt>
                      <c:pt idx="44">
                        <c:v>212.6</c:v>
                      </c:pt>
                      <c:pt idx="45">
                        <c:v>213.06</c:v>
                      </c:pt>
                      <c:pt idx="46">
                        <c:v>215.22</c:v>
                      </c:pt>
                      <c:pt idx="47">
                        <c:v>218.3</c:v>
                      </c:pt>
                      <c:pt idx="48">
                        <c:v>218.06</c:v>
                      </c:pt>
                      <c:pt idx="49">
                        <c:v>221.91</c:v>
                      </c:pt>
                      <c:pt idx="50">
                        <c:v>219.06</c:v>
                      </c:pt>
                      <c:pt idx="51">
                        <c:v>221.15</c:v>
                      </c:pt>
                      <c:pt idx="52">
                        <c:v>221.77</c:v>
                      </c:pt>
                      <c:pt idx="53">
                        <c:v>222.14</c:v>
                      </c:pt>
                      <c:pt idx="54">
                        <c:v>221.44</c:v>
                      </c:pt>
                      <c:pt idx="55">
                        <c:v>221.32</c:v>
                      </c:pt>
                      <c:pt idx="56">
                        <c:v>219.76</c:v>
                      </c:pt>
                      <c:pt idx="57">
                        <c:v>217.94</c:v>
                      </c:pt>
                      <c:pt idx="58">
                        <c:v>214.87</c:v>
                      </c:pt>
                      <c:pt idx="59">
                        <c:v>217.79</c:v>
                      </c:pt>
                      <c:pt idx="60">
                        <c:v>223.23</c:v>
                      </c:pt>
                      <c:pt idx="61">
                        <c:v>209.53</c:v>
                      </c:pt>
                      <c:pt idx="62">
                        <c:v>201.91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C4-4E64-85E3-1FA6CE7AD65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Services'!$B$7</c15:sqref>
                        </c15:formulaRef>
                      </c:ext>
                    </c:extLst>
                    <c:strCache>
                      <c:ptCount val="1"/>
                      <c:pt idx="0">
                        <c:v>MTCH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Services'!$C$7:$BM$7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72.989999999999995</c:v>
                      </c:pt>
                      <c:pt idx="1">
                        <c:v>73</c:v>
                      </c:pt>
                      <c:pt idx="2">
                        <c:v>71.209999999999994</c:v>
                      </c:pt>
                      <c:pt idx="3">
                        <c:v>68.77</c:v>
                      </c:pt>
                      <c:pt idx="4">
                        <c:v>67.040000000000006</c:v>
                      </c:pt>
                      <c:pt idx="5">
                        <c:v>69.7</c:v>
                      </c:pt>
                      <c:pt idx="6">
                        <c:v>69.08</c:v>
                      </c:pt>
                      <c:pt idx="7">
                        <c:v>68.69</c:v>
                      </c:pt>
                      <c:pt idx="8">
                        <c:v>68.41</c:v>
                      </c:pt>
                      <c:pt idx="9">
                        <c:v>68.7</c:v>
                      </c:pt>
                      <c:pt idx="10">
                        <c:v>69.38</c:v>
                      </c:pt>
                      <c:pt idx="11">
                        <c:v>70.08</c:v>
                      </c:pt>
                      <c:pt idx="12">
                        <c:v>71.09</c:v>
                      </c:pt>
                      <c:pt idx="13">
                        <c:v>71.86</c:v>
                      </c:pt>
                      <c:pt idx="14">
                        <c:v>70.47</c:v>
                      </c:pt>
                      <c:pt idx="15">
                        <c:v>70.040000000000006</c:v>
                      </c:pt>
                      <c:pt idx="16">
                        <c:v>69.87</c:v>
                      </c:pt>
                      <c:pt idx="17">
                        <c:v>69.28</c:v>
                      </c:pt>
                      <c:pt idx="18">
                        <c:v>70.37</c:v>
                      </c:pt>
                      <c:pt idx="19">
                        <c:v>70.150000000000006</c:v>
                      </c:pt>
                      <c:pt idx="20">
                        <c:v>70.48</c:v>
                      </c:pt>
                      <c:pt idx="21">
                        <c:v>68.42</c:v>
                      </c:pt>
                      <c:pt idx="22">
                        <c:v>68.260000000000005</c:v>
                      </c:pt>
                      <c:pt idx="23">
                        <c:v>67.98</c:v>
                      </c:pt>
                      <c:pt idx="24">
                        <c:v>68.13</c:v>
                      </c:pt>
                      <c:pt idx="25">
                        <c:v>67.87</c:v>
                      </c:pt>
                      <c:pt idx="26">
                        <c:v>67.81</c:v>
                      </c:pt>
                      <c:pt idx="27">
                        <c:v>68.25</c:v>
                      </c:pt>
                      <c:pt idx="28">
                        <c:v>68.62</c:v>
                      </c:pt>
                      <c:pt idx="29">
                        <c:v>69.09</c:v>
                      </c:pt>
                      <c:pt idx="30">
                        <c:v>71.91</c:v>
                      </c:pt>
                      <c:pt idx="31">
                        <c:v>72.31</c:v>
                      </c:pt>
                      <c:pt idx="32">
                        <c:v>71.040000000000006</c:v>
                      </c:pt>
                      <c:pt idx="33">
                        <c:v>71.239999999999995</c:v>
                      </c:pt>
                      <c:pt idx="34">
                        <c:v>77.349999999999994</c:v>
                      </c:pt>
                      <c:pt idx="35">
                        <c:v>79.86</c:v>
                      </c:pt>
                      <c:pt idx="36">
                        <c:v>80.180000000000007</c:v>
                      </c:pt>
                      <c:pt idx="37">
                        <c:v>80.94</c:v>
                      </c:pt>
                      <c:pt idx="38">
                        <c:v>82.51</c:v>
                      </c:pt>
                      <c:pt idx="39">
                        <c:v>84.03</c:v>
                      </c:pt>
                      <c:pt idx="40">
                        <c:v>82.98</c:v>
                      </c:pt>
                      <c:pt idx="41">
                        <c:v>82.11</c:v>
                      </c:pt>
                      <c:pt idx="42">
                        <c:v>84.19</c:v>
                      </c:pt>
                      <c:pt idx="43">
                        <c:v>84.1</c:v>
                      </c:pt>
                      <c:pt idx="44">
                        <c:v>84.32</c:v>
                      </c:pt>
                      <c:pt idx="45">
                        <c:v>83.82</c:v>
                      </c:pt>
                      <c:pt idx="46">
                        <c:v>85.05</c:v>
                      </c:pt>
                      <c:pt idx="47">
                        <c:v>85.75</c:v>
                      </c:pt>
                      <c:pt idx="48">
                        <c:v>87.13</c:v>
                      </c:pt>
                      <c:pt idx="49">
                        <c:v>89.58</c:v>
                      </c:pt>
                      <c:pt idx="50">
                        <c:v>89.72</c:v>
                      </c:pt>
                      <c:pt idx="51">
                        <c:v>91.1</c:v>
                      </c:pt>
                      <c:pt idx="52">
                        <c:v>92.45</c:v>
                      </c:pt>
                      <c:pt idx="53">
                        <c:v>91.11</c:v>
                      </c:pt>
                      <c:pt idx="54">
                        <c:v>89.75</c:v>
                      </c:pt>
                      <c:pt idx="55">
                        <c:v>89.56</c:v>
                      </c:pt>
                      <c:pt idx="56">
                        <c:v>88.47</c:v>
                      </c:pt>
                      <c:pt idx="57">
                        <c:v>85.57</c:v>
                      </c:pt>
                      <c:pt idx="58">
                        <c:v>84.35</c:v>
                      </c:pt>
                      <c:pt idx="59">
                        <c:v>83.96</c:v>
                      </c:pt>
                      <c:pt idx="60">
                        <c:v>81.03</c:v>
                      </c:pt>
                      <c:pt idx="61">
                        <c:v>81.05</c:v>
                      </c:pt>
                      <c:pt idx="62">
                        <c:v>78.22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C4-4E64-85E3-1FA6CE7AD65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Services'!$B$8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Services'!$C$8:$BM$8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38.49</c:v>
                      </c:pt>
                      <c:pt idx="1">
                        <c:v>38.950000000000003</c:v>
                      </c:pt>
                      <c:pt idx="2">
                        <c:v>38.89</c:v>
                      </c:pt>
                      <c:pt idx="3">
                        <c:v>39.17</c:v>
                      </c:pt>
                      <c:pt idx="4">
                        <c:v>39.25</c:v>
                      </c:pt>
                      <c:pt idx="5">
                        <c:v>39.42</c:v>
                      </c:pt>
                      <c:pt idx="6">
                        <c:v>39.380000000000003</c:v>
                      </c:pt>
                      <c:pt idx="7">
                        <c:v>39.369999999999997</c:v>
                      </c:pt>
                      <c:pt idx="8">
                        <c:v>39.17</c:v>
                      </c:pt>
                      <c:pt idx="9">
                        <c:v>39.159999999999997</c:v>
                      </c:pt>
                      <c:pt idx="10">
                        <c:v>38.950000000000003</c:v>
                      </c:pt>
                      <c:pt idx="11">
                        <c:v>39.5</c:v>
                      </c:pt>
                      <c:pt idx="12">
                        <c:v>39.630000000000003</c:v>
                      </c:pt>
                      <c:pt idx="13">
                        <c:v>38</c:v>
                      </c:pt>
                      <c:pt idx="14">
                        <c:v>37.18</c:v>
                      </c:pt>
                      <c:pt idx="15">
                        <c:v>37.6</c:v>
                      </c:pt>
                      <c:pt idx="16">
                        <c:v>37.75</c:v>
                      </c:pt>
                      <c:pt idx="17">
                        <c:v>37.26</c:v>
                      </c:pt>
                      <c:pt idx="18">
                        <c:v>37.4</c:v>
                      </c:pt>
                      <c:pt idx="19">
                        <c:v>37.659999999999997</c:v>
                      </c:pt>
                      <c:pt idx="20">
                        <c:v>37.380000000000003</c:v>
                      </c:pt>
                      <c:pt idx="21">
                        <c:v>37.32</c:v>
                      </c:pt>
                      <c:pt idx="22">
                        <c:v>37.549999999999997</c:v>
                      </c:pt>
                      <c:pt idx="23">
                        <c:v>38.1</c:v>
                      </c:pt>
                      <c:pt idx="24">
                        <c:v>38.19</c:v>
                      </c:pt>
                      <c:pt idx="25">
                        <c:v>38.200000000000003</c:v>
                      </c:pt>
                      <c:pt idx="26">
                        <c:v>38.04</c:v>
                      </c:pt>
                      <c:pt idx="27">
                        <c:v>38.06</c:v>
                      </c:pt>
                      <c:pt idx="28">
                        <c:v>38.17</c:v>
                      </c:pt>
                      <c:pt idx="29">
                        <c:v>38.35</c:v>
                      </c:pt>
                      <c:pt idx="30">
                        <c:v>38.26</c:v>
                      </c:pt>
                      <c:pt idx="31">
                        <c:v>38.590000000000003</c:v>
                      </c:pt>
                      <c:pt idx="32">
                        <c:v>38.5</c:v>
                      </c:pt>
                      <c:pt idx="33">
                        <c:v>38.74</c:v>
                      </c:pt>
                      <c:pt idx="34">
                        <c:v>38.93</c:v>
                      </c:pt>
                      <c:pt idx="35">
                        <c:v>39.15</c:v>
                      </c:pt>
                      <c:pt idx="36">
                        <c:v>39.07</c:v>
                      </c:pt>
                      <c:pt idx="37">
                        <c:v>38.96</c:v>
                      </c:pt>
                      <c:pt idx="38">
                        <c:v>39.159999999999997</c:v>
                      </c:pt>
                      <c:pt idx="39">
                        <c:v>39.24</c:v>
                      </c:pt>
                      <c:pt idx="40">
                        <c:v>39.04</c:v>
                      </c:pt>
                      <c:pt idx="41">
                        <c:v>39.08</c:v>
                      </c:pt>
                      <c:pt idx="42">
                        <c:v>38.86</c:v>
                      </c:pt>
                      <c:pt idx="43">
                        <c:v>39.06</c:v>
                      </c:pt>
                      <c:pt idx="44">
                        <c:v>39.1</c:v>
                      </c:pt>
                      <c:pt idx="45">
                        <c:v>39.25</c:v>
                      </c:pt>
                      <c:pt idx="46">
                        <c:v>39.369999999999997</c:v>
                      </c:pt>
                      <c:pt idx="47">
                        <c:v>38.799999999999997</c:v>
                      </c:pt>
                      <c:pt idx="48">
                        <c:v>38.57</c:v>
                      </c:pt>
                      <c:pt idx="49">
                        <c:v>38.1</c:v>
                      </c:pt>
                      <c:pt idx="50">
                        <c:v>38.090000000000003</c:v>
                      </c:pt>
                      <c:pt idx="51">
                        <c:v>37.869999999999997</c:v>
                      </c:pt>
                      <c:pt idx="52">
                        <c:v>38.03</c:v>
                      </c:pt>
                      <c:pt idx="53">
                        <c:v>38.380000000000003</c:v>
                      </c:pt>
                      <c:pt idx="54">
                        <c:v>38.520000000000003</c:v>
                      </c:pt>
                      <c:pt idx="55">
                        <c:v>39.04</c:v>
                      </c:pt>
                      <c:pt idx="56">
                        <c:v>38.630000000000003</c:v>
                      </c:pt>
                      <c:pt idx="57">
                        <c:v>38.5</c:v>
                      </c:pt>
                      <c:pt idx="58">
                        <c:v>38.25</c:v>
                      </c:pt>
                      <c:pt idx="59">
                        <c:v>38.58</c:v>
                      </c:pt>
                      <c:pt idx="60">
                        <c:v>37.049999999999997</c:v>
                      </c:pt>
                      <c:pt idx="61">
                        <c:v>37.43</c:v>
                      </c:pt>
                      <c:pt idx="62">
                        <c:v>37.619999999999997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C4-4E64-85E3-1FA6CE7AD65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Services'!$B$9</c15:sqref>
                        </c15:formulaRef>
                      </c:ext>
                    </c:extLst>
                    <c:strCache>
                      <c:ptCount val="1"/>
                      <c:pt idx="0">
                        <c:v>GOOGL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Services'!$C$9:$BM$9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1258.8</c:v>
                      </c:pt>
                      <c:pt idx="1">
                        <c:v>1272.25</c:v>
                      </c:pt>
                      <c:pt idx="2">
                        <c:v>1289.6099999999999</c:v>
                      </c:pt>
                      <c:pt idx="3">
                        <c:v>1291.44</c:v>
                      </c:pt>
                      <c:pt idx="4">
                        <c:v>1291.01</c:v>
                      </c:pt>
                      <c:pt idx="5">
                        <c:v>1306.94</c:v>
                      </c:pt>
                      <c:pt idx="6">
                        <c:v>1309</c:v>
                      </c:pt>
                      <c:pt idx="7">
                        <c:v>1298.28</c:v>
                      </c:pt>
                      <c:pt idx="8">
                        <c:v>1297.21</c:v>
                      </c:pt>
                      <c:pt idx="9">
                        <c:v>1296.18</c:v>
                      </c:pt>
                      <c:pt idx="10">
                        <c:v>1309.1500000000001</c:v>
                      </c:pt>
                      <c:pt idx="11">
                        <c:v>1333.54</c:v>
                      </c:pt>
                      <c:pt idx="12">
                        <c:v>1319.84</c:v>
                      </c:pt>
                      <c:pt idx="13">
                        <c:v>1312.59</c:v>
                      </c:pt>
                      <c:pt idx="14">
                        <c:v>1301.8599999999999</c:v>
                      </c:pt>
                      <c:pt idx="15">
                        <c:v>1300.1400000000001</c:v>
                      </c:pt>
                      <c:pt idx="16">
                        <c:v>1293.67</c:v>
                      </c:pt>
                      <c:pt idx="17">
                        <c:v>1305.6400000000001</c:v>
                      </c:pt>
                      <c:pt idx="18">
                        <c:v>1313</c:v>
                      </c:pt>
                      <c:pt idx="19">
                        <c:v>1312.13</c:v>
                      </c:pt>
                      <c:pt idx="20">
                        <c:v>1304.0899999999999</c:v>
                      </c:pt>
                      <c:pt idx="21">
                        <c:v>1288.8599999999999</c:v>
                      </c:pt>
                      <c:pt idx="22">
                        <c:v>1294.74</c:v>
                      </c:pt>
                      <c:pt idx="23">
                        <c:v>1318.94</c:v>
                      </c:pt>
                      <c:pt idx="24">
                        <c:v>1326.96</c:v>
                      </c:pt>
                      <c:pt idx="25">
                        <c:v>1339.39</c:v>
                      </c:pt>
                      <c:pt idx="26">
                        <c:v>1342.99</c:v>
                      </c:pt>
                      <c:pt idx="27">
                        <c:v>1342.89</c:v>
                      </c:pt>
                      <c:pt idx="28">
                        <c:v>1344.25</c:v>
                      </c:pt>
                      <c:pt idx="29">
                        <c:v>1348.49</c:v>
                      </c:pt>
                      <c:pt idx="30">
                        <c:v>1346.87</c:v>
                      </c:pt>
                      <c:pt idx="31">
                        <c:v>1360.7</c:v>
                      </c:pt>
                      <c:pt idx="32">
                        <c:v>1354.89</c:v>
                      </c:pt>
                      <c:pt idx="33">
                        <c:v>1351.91</c:v>
                      </c:pt>
                      <c:pt idx="34">
                        <c:v>1356.44</c:v>
                      </c:pt>
                      <c:pt idx="35">
                        <c:v>1351.22</c:v>
                      </c:pt>
                      <c:pt idx="36">
                        <c:v>1350.63</c:v>
                      </c:pt>
                      <c:pt idx="37">
                        <c:v>1344.43</c:v>
                      </c:pt>
                      <c:pt idx="38">
                        <c:v>1362.47</c:v>
                      </c:pt>
                      <c:pt idx="39">
                        <c:v>1354.64</c:v>
                      </c:pt>
                      <c:pt idx="40">
                        <c:v>1339.71</c:v>
                      </c:pt>
                      <c:pt idx="41">
                        <c:v>1339.39</c:v>
                      </c:pt>
                      <c:pt idx="42">
                        <c:v>1368.68</c:v>
                      </c:pt>
                      <c:pt idx="43">
                        <c:v>1361.52</c:v>
                      </c:pt>
                      <c:pt idx="44">
                        <c:v>1397.81</c:v>
                      </c:pt>
                      <c:pt idx="45">
                        <c:v>1395.11</c:v>
                      </c:pt>
                      <c:pt idx="46">
                        <c:v>1405.04</c:v>
                      </c:pt>
                      <c:pt idx="47">
                        <c:v>1419.79</c:v>
                      </c:pt>
                      <c:pt idx="48">
                        <c:v>1428.96</c:v>
                      </c:pt>
                      <c:pt idx="49">
                        <c:v>1440.03</c:v>
                      </c:pt>
                      <c:pt idx="50">
                        <c:v>1430.59</c:v>
                      </c:pt>
                      <c:pt idx="51">
                        <c:v>1439.2</c:v>
                      </c:pt>
                      <c:pt idx="52">
                        <c:v>1450.16</c:v>
                      </c:pt>
                      <c:pt idx="53">
                        <c:v>1479.52</c:v>
                      </c:pt>
                      <c:pt idx="54">
                        <c:v>1482.25</c:v>
                      </c:pt>
                      <c:pt idx="55">
                        <c:v>1484.17</c:v>
                      </c:pt>
                      <c:pt idx="56">
                        <c:v>1484.69</c:v>
                      </c:pt>
                      <c:pt idx="57">
                        <c:v>1466.17</c:v>
                      </c:pt>
                      <c:pt idx="58">
                        <c:v>1431.73</c:v>
                      </c:pt>
                      <c:pt idx="59">
                        <c:v>1450.5</c:v>
                      </c:pt>
                      <c:pt idx="60">
                        <c:v>1456.7</c:v>
                      </c:pt>
                      <c:pt idx="61">
                        <c:v>1454.25</c:v>
                      </c:pt>
                      <c:pt idx="62">
                        <c:v>1432.78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C4-4E64-85E3-1FA6CE7AD65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Services'!$B$10</c15:sqref>
                        </c15:formulaRef>
                      </c:ext>
                    </c:extLst>
                    <c:strCache>
                      <c:ptCount val="1"/>
                      <c:pt idx="0">
                        <c:v>DIS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Services'!$C$10:$BM$10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129.91999999999999</c:v>
                      </c:pt>
                      <c:pt idx="1">
                        <c:v>132.75</c:v>
                      </c:pt>
                      <c:pt idx="2">
                        <c:v>132.91999999999999</c:v>
                      </c:pt>
                      <c:pt idx="3">
                        <c:v>131.44999999999999</c:v>
                      </c:pt>
                      <c:pt idx="4">
                        <c:v>131.27000000000001</c:v>
                      </c:pt>
                      <c:pt idx="5">
                        <c:v>132.96</c:v>
                      </c:pt>
                      <c:pt idx="6">
                        <c:v>137.96</c:v>
                      </c:pt>
                      <c:pt idx="7">
                        <c:v>136.74</c:v>
                      </c:pt>
                      <c:pt idx="8">
                        <c:v>138.58000000000001</c:v>
                      </c:pt>
                      <c:pt idx="9">
                        <c:v>148.72</c:v>
                      </c:pt>
                      <c:pt idx="10">
                        <c:v>147.15</c:v>
                      </c:pt>
                      <c:pt idx="11">
                        <c:v>144.66999999999999</c:v>
                      </c:pt>
                      <c:pt idx="12">
                        <c:v>147.65</c:v>
                      </c:pt>
                      <c:pt idx="13">
                        <c:v>148.38</c:v>
                      </c:pt>
                      <c:pt idx="14">
                        <c:v>146.93</c:v>
                      </c:pt>
                      <c:pt idx="15">
                        <c:v>146.9</c:v>
                      </c:pt>
                      <c:pt idx="16">
                        <c:v>148.29</c:v>
                      </c:pt>
                      <c:pt idx="17">
                        <c:v>149.69</c:v>
                      </c:pt>
                      <c:pt idx="18">
                        <c:v>151.63999999999999</c:v>
                      </c:pt>
                      <c:pt idx="19">
                        <c:v>151.47999999999999</c:v>
                      </c:pt>
                      <c:pt idx="20">
                        <c:v>151.58000000000001</c:v>
                      </c:pt>
                      <c:pt idx="21">
                        <c:v>150.62</c:v>
                      </c:pt>
                      <c:pt idx="22">
                        <c:v>148.58000000000001</c:v>
                      </c:pt>
                      <c:pt idx="23">
                        <c:v>148.28</c:v>
                      </c:pt>
                      <c:pt idx="24">
                        <c:v>147.44</c:v>
                      </c:pt>
                      <c:pt idx="25">
                        <c:v>147.66</c:v>
                      </c:pt>
                      <c:pt idx="26">
                        <c:v>146.21</c:v>
                      </c:pt>
                      <c:pt idx="27">
                        <c:v>146.1</c:v>
                      </c:pt>
                      <c:pt idx="28">
                        <c:v>147.59</c:v>
                      </c:pt>
                      <c:pt idx="29">
                        <c:v>147.76</c:v>
                      </c:pt>
                      <c:pt idx="30">
                        <c:v>146.38</c:v>
                      </c:pt>
                      <c:pt idx="31">
                        <c:v>148.46</c:v>
                      </c:pt>
                      <c:pt idx="32">
                        <c:v>147.72999999999999</c:v>
                      </c:pt>
                      <c:pt idx="33">
                        <c:v>146.26</c:v>
                      </c:pt>
                      <c:pt idx="34">
                        <c:v>146.15</c:v>
                      </c:pt>
                      <c:pt idx="35">
                        <c:v>146.88</c:v>
                      </c:pt>
                      <c:pt idx="36">
                        <c:v>144.68</c:v>
                      </c:pt>
                      <c:pt idx="37">
                        <c:v>145.29</c:v>
                      </c:pt>
                      <c:pt idx="38">
                        <c:v>145.69999999999999</c:v>
                      </c:pt>
                      <c:pt idx="39">
                        <c:v>145.75</c:v>
                      </c:pt>
                      <c:pt idx="40">
                        <c:v>143.77000000000001</c:v>
                      </c:pt>
                      <c:pt idx="41">
                        <c:v>144.63</c:v>
                      </c:pt>
                      <c:pt idx="42">
                        <c:v>148.19999999999999</c:v>
                      </c:pt>
                      <c:pt idx="43">
                        <c:v>146.5</c:v>
                      </c:pt>
                      <c:pt idx="44">
                        <c:v>145.65</c:v>
                      </c:pt>
                      <c:pt idx="45">
                        <c:v>145.69999999999999</c:v>
                      </c:pt>
                      <c:pt idx="46">
                        <c:v>145.4</c:v>
                      </c:pt>
                      <c:pt idx="47">
                        <c:v>144.83000000000001</c:v>
                      </c:pt>
                      <c:pt idx="48">
                        <c:v>144.62</c:v>
                      </c:pt>
                      <c:pt idx="49">
                        <c:v>143.88</c:v>
                      </c:pt>
                      <c:pt idx="50">
                        <c:v>145.19999999999999</c:v>
                      </c:pt>
                      <c:pt idx="51">
                        <c:v>144.32</c:v>
                      </c:pt>
                      <c:pt idx="52">
                        <c:v>145.12</c:v>
                      </c:pt>
                      <c:pt idx="53">
                        <c:v>144.33000000000001</c:v>
                      </c:pt>
                      <c:pt idx="54">
                        <c:v>143.56</c:v>
                      </c:pt>
                      <c:pt idx="55">
                        <c:v>144.01</c:v>
                      </c:pt>
                      <c:pt idx="56">
                        <c:v>142.19999999999999</c:v>
                      </c:pt>
                      <c:pt idx="57">
                        <c:v>140.08000000000001</c:v>
                      </c:pt>
                      <c:pt idx="58">
                        <c:v>135.9</c:v>
                      </c:pt>
                      <c:pt idx="59">
                        <c:v>138.37</c:v>
                      </c:pt>
                      <c:pt idx="60">
                        <c:v>136.06</c:v>
                      </c:pt>
                      <c:pt idx="61">
                        <c:v>137.81</c:v>
                      </c:pt>
                      <c:pt idx="62">
                        <c:v>138.31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C4-4E64-85E3-1FA6CE7AD65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Services'!$B$11</c15:sqref>
                        </c15:formulaRef>
                      </c:ext>
                    </c:extLst>
                    <c:strCache>
                      <c:ptCount val="1"/>
                      <c:pt idx="0">
                        <c:v>ATVI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Services'!$C$11:$BM$11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56.03</c:v>
                      </c:pt>
                      <c:pt idx="1">
                        <c:v>55.82</c:v>
                      </c:pt>
                      <c:pt idx="2">
                        <c:v>55.71</c:v>
                      </c:pt>
                      <c:pt idx="3">
                        <c:v>55.54</c:v>
                      </c:pt>
                      <c:pt idx="4">
                        <c:v>56.36</c:v>
                      </c:pt>
                      <c:pt idx="5">
                        <c:v>54.55</c:v>
                      </c:pt>
                      <c:pt idx="6">
                        <c:v>54.3</c:v>
                      </c:pt>
                      <c:pt idx="7">
                        <c:v>52.52</c:v>
                      </c:pt>
                      <c:pt idx="8">
                        <c:v>51.95</c:v>
                      </c:pt>
                      <c:pt idx="9">
                        <c:v>52.33</c:v>
                      </c:pt>
                      <c:pt idx="10">
                        <c:v>52.7</c:v>
                      </c:pt>
                      <c:pt idx="11">
                        <c:v>53.44</c:v>
                      </c:pt>
                      <c:pt idx="12">
                        <c:v>52.73</c:v>
                      </c:pt>
                      <c:pt idx="13">
                        <c:v>53.28</c:v>
                      </c:pt>
                      <c:pt idx="14">
                        <c:v>54.085000000000001</c:v>
                      </c:pt>
                      <c:pt idx="15">
                        <c:v>53.69</c:v>
                      </c:pt>
                      <c:pt idx="16">
                        <c:v>53.04</c:v>
                      </c:pt>
                      <c:pt idx="17">
                        <c:v>53.73</c:v>
                      </c:pt>
                      <c:pt idx="18">
                        <c:v>54.17</c:v>
                      </c:pt>
                      <c:pt idx="19">
                        <c:v>54.48</c:v>
                      </c:pt>
                      <c:pt idx="20">
                        <c:v>54.83</c:v>
                      </c:pt>
                      <c:pt idx="21">
                        <c:v>54.23</c:v>
                      </c:pt>
                      <c:pt idx="22">
                        <c:v>54.59</c:v>
                      </c:pt>
                      <c:pt idx="23">
                        <c:v>53.88</c:v>
                      </c:pt>
                      <c:pt idx="24">
                        <c:v>54.99</c:v>
                      </c:pt>
                      <c:pt idx="25">
                        <c:v>55.21</c:v>
                      </c:pt>
                      <c:pt idx="26">
                        <c:v>54.39</c:v>
                      </c:pt>
                      <c:pt idx="27">
                        <c:v>55.94</c:v>
                      </c:pt>
                      <c:pt idx="28">
                        <c:v>56.48</c:v>
                      </c:pt>
                      <c:pt idx="29">
                        <c:v>58.56</c:v>
                      </c:pt>
                      <c:pt idx="30">
                        <c:v>58.65</c:v>
                      </c:pt>
                      <c:pt idx="31">
                        <c:v>58.61</c:v>
                      </c:pt>
                      <c:pt idx="32">
                        <c:v>58.26</c:v>
                      </c:pt>
                      <c:pt idx="33">
                        <c:v>59.02</c:v>
                      </c:pt>
                      <c:pt idx="34">
                        <c:v>59.13</c:v>
                      </c:pt>
                      <c:pt idx="35">
                        <c:v>59.22</c:v>
                      </c:pt>
                      <c:pt idx="36">
                        <c:v>58.89</c:v>
                      </c:pt>
                      <c:pt idx="37">
                        <c:v>58.81</c:v>
                      </c:pt>
                      <c:pt idx="38">
                        <c:v>58.89</c:v>
                      </c:pt>
                      <c:pt idx="39">
                        <c:v>59.185000000000002</c:v>
                      </c:pt>
                      <c:pt idx="40">
                        <c:v>58.88</c:v>
                      </c:pt>
                      <c:pt idx="41">
                        <c:v>59.42</c:v>
                      </c:pt>
                      <c:pt idx="42">
                        <c:v>58.65</c:v>
                      </c:pt>
                      <c:pt idx="43">
                        <c:v>58.67</c:v>
                      </c:pt>
                      <c:pt idx="44">
                        <c:v>59.74</c:v>
                      </c:pt>
                      <c:pt idx="45">
                        <c:v>60.335000000000001</c:v>
                      </c:pt>
                      <c:pt idx="46">
                        <c:v>59.88</c:v>
                      </c:pt>
                      <c:pt idx="47">
                        <c:v>59.34</c:v>
                      </c:pt>
                      <c:pt idx="48">
                        <c:v>58.95</c:v>
                      </c:pt>
                      <c:pt idx="49">
                        <c:v>59.24</c:v>
                      </c:pt>
                      <c:pt idx="50">
                        <c:v>60.05</c:v>
                      </c:pt>
                      <c:pt idx="51">
                        <c:v>59.64</c:v>
                      </c:pt>
                      <c:pt idx="52">
                        <c:v>60.43</c:v>
                      </c:pt>
                      <c:pt idx="53">
                        <c:v>61.24</c:v>
                      </c:pt>
                      <c:pt idx="54">
                        <c:v>61.42</c:v>
                      </c:pt>
                      <c:pt idx="55">
                        <c:v>60.32</c:v>
                      </c:pt>
                      <c:pt idx="56">
                        <c:v>60.13</c:v>
                      </c:pt>
                      <c:pt idx="57">
                        <c:v>59.4</c:v>
                      </c:pt>
                      <c:pt idx="58">
                        <c:v>58.32</c:v>
                      </c:pt>
                      <c:pt idx="59">
                        <c:v>60.03</c:v>
                      </c:pt>
                      <c:pt idx="60">
                        <c:v>60.4</c:v>
                      </c:pt>
                      <c:pt idx="61">
                        <c:v>60.89</c:v>
                      </c:pt>
                      <c:pt idx="62">
                        <c:v>58.48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C4-4E64-85E3-1FA6CE7AD65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Services'!$C$12:$BM$12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9.043426327412396E-3</c:v>
                      </c:pt>
                      <c:pt idx="2">
                        <c:v>2.1076632777483617E-3</c:v>
                      </c:pt>
                      <c:pt idx="3">
                        <c:v>-5.1150649785043356E-3</c:v>
                      </c:pt>
                      <c:pt idx="4">
                        <c:v>-3.4339046666231887E-3</c:v>
                      </c:pt>
                      <c:pt idx="5">
                        <c:v>4.1259466100793674E-3</c:v>
                      </c:pt>
                      <c:pt idx="6">
                        <c:v>4.9022407930370271E-3</c:v>
                      </c:pt>
                      <c:pt idx="7">
                        <c:v>-1.0406640858242167E-2</c:v>
                      </c:pt>
                      <c:pt idx="8">
                        <c:v>4.4486219231789637E-3</c:v>
                      </c:pt>
                      <c:pt idx="9">
                        <c:v>1.1465343547071738E-2</c:v>
                      </c:pt>
                      <c:pt idx="10">
                        <c:v>2.5832574983248868E-3</c:v>
                      </c:pt>
                      <c:pt idx="11">
                        <c:v>9.0855801035993888E-3</c:v>
                      </c:pt>
                      <c:pt idx="12">
                        <c:v>2.5895573892045221E-3</c:v>
                      </c:pt>
                      <c:pt idx="13">
                        <c:v>-3.864027714755025E-4</c:v>
                      </c:pt>
                      <c:pt idx="14">
                        <c:v>-7.8870309624770041E-3</c:v>
                      </c:pt>
                      <c:pt idx="15">
                        <c:v>-6.0833716629249412E-4</c:v>
                      </c:pt>
                      <c:pt idx="16">
                        <c:v>-5.6024365121565278E-4</c:v>
                      </c:pt>
                      <c:pt idx="17">
                        <c:v>4.928856244057922E-3</c:v>
                      </c:pt>
                      <c:pt idx="18">
                        <c:v>6.1336519696633118E-3</c:v>
                      </c:pt>
                      <c:pt idx="19">
                        <c:v>3.8032297545089744E-3</c:v>
                      </c:pt>
                      <c:pt idx="20">
                        <c:v>-1.3413313748025235E-3</c:v>
                      </c:pt>
                      <c:pt idx="21">
                        <c:v>-1.1155891865003431E-2</c:v>
                      </c:pt>
                      <c:pt idx="22">
                        <c:v>-5.8418692028638919E-4</c:v>
                      </c:pt>
                      <c:pt idx="23">
                        <c:v>4.1074281708102234E-3</c:v>
                      </c:pt>
                      <c:pt idx="24">
                        <c:v>4.8478036406010006E-3</c:v>
                      </c:pt>
                      <c:pt idx="25">
                        <c:v>4.9212449750510867E-3</c:v>
                      </c:pt>
                      <c:pt idx="26">
                        <c:v>-3.1162160401730921E-3</c:v>
                      </c:pt>
                      <c:pt idx="27">
                        <c:v>4.0881693717667034E-3</c:v>
                      </c:pt>
                      <c:pt idx="28">
                        <c:v>5.5528136749156687E-3</c:v>
                      </c:pt>
                      <c:pt idx="29">
                        <c:v>2.0906705204157827E-3</c:v>
                      </c:pt>
                      <c:pt idx="30">
                        <c:v>-3.3932728747387841E-4</c:v>
                      </c:pt>
                      <c:pt idx="31">
                        <c:v>1.0415685147232345E-2</c:v>
                      </c:pt>
                      <c:pt idx="32">
                        <c:v>-4.5496117073244857E-3</c:v>
                      </c:pt>
                      <c:pt idx="33">
                        <c:v>4.6149653979730143E-3</c:v>
                      </c:pt>
                      <c:pt idx="34">
                        <c:v>1.4009315017034618E-2</c:v>
                      </c:pt>
                      <c:pt idx="35">
                        <c:v>4.2567443609562439E-3</c:v>
                      </c:pt>
                      <c:pt idx="36">
                        <c:v>-3.1446631416597315E-3</c:v>
                      </c:pt>
                      <c:pt idx="37">
                        <c:v>-1.0760613248746997E-3</c:v>
                      </c:pt>
                      <c:pt idx="38">
                        <c:v>9.8366551362105703E-3</c:v>
                      </c:pt>
                      <c:pt idx="39">
                        <c:v>1.7683200972928859E-3</c:v>
                      </c:pt>
                      <c:pt idx="40">
                        <c:v>-1.1522308560671712E-2</c:v>
                      </c:pt>
                      <c:pt idx="41">
                        <c:v>1.8603434761503834E-3</c:v>
                      </c:pt>
                      <c:pt idx="42">
                        <c:v>1.5017192003218938E-2</c:v>
                      </c:pt>
                      <c:pt idx="43">
                        <c:v>-3.9653557378286353E-3</c:v>
                      </c:pt>
                      <c:pt idx="44">
                        <c:v>1.3587579837632591E-2</c:v>
                      </c:pt>
                      <c:pt idx="45">
                        <c:v>1.0193732242391729E-3</c:v>
                      </c:pt>
                      <c:pt idx="46">
                        <c:v>4.697065823404234E-3</c:v>
                      </c:pt>
                      <c:pt idx="47">
                        <c:v>3.7037174208409684E-3</c:v>
                      </c:pt>
                      <c:pt idx="48">
                        <c:v>1.8955597175112082E-3</c:v>
                      </c:pt>
                      <c:pt idx="49">
                        <c:v>8.1107286801316292E-3</c:v>
                      </c:pt>
                      <c:pt idx="50">
                        <c:v>-1.1270132731474591E-3</c:v>
                      </c:pt>
                      <c:pt idx="51">
                        <c:v>3.2137563687923976E-3</c:v>
                      </c:pt>
                      <c:pt idx="52">
                        <c:v>7.7257070338410117E-3</c:v>
                      </c:pt>
                      <c:pt idx="53">
                        <c:v>6.3838344549698167E-3</c:v>
                      </c:pt>
                      <c:pt idx="54">
                        <c:v>-1.9612122234516915E-3</c:v>
                      </c:pt>
                      <c:pt idx="55">
                        <c:v>-9.2112475086358891E-4</c:v>
                      </c:pt>
                      <c:pt idx="56">
                        <c:v>-6.007647679835082E-3</c:v>
                      </c:pt>
                      <c:pt idx="57">
                        <c:v>-1.3572343353694505E-2</c:v>
                      </c:pt>
                      <c:pt idx="58">
                        <c:v>-1.9129831188380519E-2</c:v>
                      </c:pt>
                      <c:pt idx="59">
                        <c:v>1.3727537160498571E-2</c:v>
                      </c:pt>
                      <c:pt idx="60">
                        <c:v>-2.7597924423952147E-3</c:v>
                      </c:pt>
                      <c:pt idx="61">
                        <c:v>-9.4744162182484049E-3</c:v>
                      </c:pt>
                      <c:pt idx="62">
                        <c:v>-2.0625047023065557E-2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C4-4E64-85E3-1FA6CE7AD65C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Services'!$C$13:$BM$13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8.3226632522408472E-3</c:v>
                      </c:pt>
                      <c:pt idx="2">
                        <c:v>4.0404040404040664E-3</c:v>
                      </c:pt>
                      <c:pt idx="3">
                        <c:v>-6.8985340615101975E-4</c:v>
                      </c:pt>
                      <c:pt idx="4">
                        <c:v>-2.0134614278318752E-3</c:v>
                      </c:pt>
                      <c:pt idx="5">
                        <c:v>6.6866497578972339E-3</c:v>
                      </c:pt>
                      <c:pt idx="6">
                        <c:v>3.664681630783484E-3</c:v>
                      </c:pt>
                      <c:pt idx="7">
                        <c:v>-3.936558649018651E-3</c:v>
                      </c:pt>
                      <c:pt idx="8">
                        <c:v>2.9784065524944836E-3</c:v>
                      </c:pt>
                      <c:pt idx="9">
                        <c:v>4.2259151390553473E-3</c:v>
                      </c:pt>
                      <c:pt idx="10">
                        <c:v>3.0139323286892949E-3</c:v>
                      </c:pt>
                      <c:pt idx="11">
                        <c:v>7.0869713119401379E-3</c:v>
                      </c:pt>
                      <c:pt idx="12">
                        <c:v>2.7585430389012178E-3</c:v>
                      </c:pt>
                      <c:pt idx="13">
                        <c:v>-2.5825286323827301E-3</c:v>
                      </c:pt>
                      <c:pt idx="14">
                        <c:v>-7.9365079365079083E-3</c:v>
                      </c:pt>
                      <c:pt idx="15">
                        <c:v>2.4964539007092945E-3</c:v>
                      </c:pt>
                      <c:pt idx="16">
                        <c:v>1.3017148678475809E-3</c:v>
                      </c:pt>
                      <c:pt idx="17">
                        <c:v>1.186977164820302E-3</c:v>
                      </c:pt>
                      <c:pt idx="18">
                        <c:v>3.6131654716875516E-3</c:v>
                      </c:pt>
                      <c:pt idx="19">
                        <c:v>6.3002756370589275E-3</c:v>
                      </c:pt>
                      <c:pt idx="20">
                        <c:v>-3.6335178042371519E-3</c:v>
                      </c:pt>
                      <c:pt idx="21">
                        <c:v>-8.6961400359066854E-3</c:v>
                      </c:pt>
                      <c:pt idx="22">
                        <c:v>-8.4894447903105519E-4</c:v>
                      </c:pt>
                      <c:pt idx="23">
                        <c:v>6.4008156791661719E-3</c:v>
                      </c:pt>
                      <c:pt idx="24">
                        <c:v>3.8836044351888699E-3</c:v>
                      </c:pt>
                      <c:pt idx="25">
                        <c:v>6.2794348508632414E-3</c:v>
                      </c:pt>
                      <c:pt idx="26">
                        <c:v>-2.8972587474926925E-3</c:v>
                      </c:pt>
                      <c:pt idx="27">
                        <c:v>-3.5762181493071976E-3</c:v>
                      </c:pt>
                      <c:pt idx="28">
                        <c:v>3.0282637954239799E-3</c:v>
                      </c:pt>
                      <c:pt idx="29">
                        <c:v>-5.5909650005681044E-5</c:v>
                      </c:pt>
                      <c:pt idx="30">
                        <c:v>-3.242941012021161E-3</c:v>
                      </c:pt>
                      <c:pt idx="31">
                        <c:v>1.0377517249116508E-2</c:v>
                      </c:pt>
                      <c:pt idx="32">
                        <c:v>1.1103708638682264E-4</c:v>
                      </c:pt>
                      <c:pt idx="33">
                        <c:v>2.9421561008105002E-3</c:v>
                      </c:pt>
                      <c:pt idx="34">
                        <c:v>7.9149831183926711E-3</c:v>
                      </c:pt>
                      <c:pt idx="35">
                        <c:v>3.8440417353102774E-3</c:v>
                      </c:pt>
                      <c:pt idx="36">
                        <c:v>-3.3916849015317441E-3</c:v>
                      </c:pt>
                      <c:pt idx="37">
                        <c:v>-1.3173784169503433E-3</c:v>
                      </c:pt>
                      <c:pt idx="38">
                        <c:v>8.1345498515994485E-3</c:v>
                      </c:pt>
                      <c:pt idx="39">
                        <c:v>-1.4175117217315458E-3</c:v>
                      </c:pt>
                      <c:pt idx="40">
                        <c:v>-1.0264249836208772E-2</c:v>
                      </c:pt>
                      <c:pt idx="41">
                        <c:v>1.9858781994703811E-3</c:v>
                      </c:pt>
                      <c:pt idx="42">
                        <c:v>1.3157894736842257E-2</c:v>
                      </c:pt>
                      <c:pt idx="43">
                        <c:v>-5.5425745802315518E-3</c:v>
                      </c:pt>
                      <c:pt idx="44">
                        <c:v>1.2185126495819931E-2</c:v>
                      </c:pt>
                      <c:pt idx="45">
                        <c:v>-3.7788814510919533E-4</c:v>
                      </c:pt>
                      <c:pt idx="46">
                        <c:v>6.8585624021171299E-3</c:v>
                      </c:pt>
                      <c:pt idx="47">
                        <c:v>2.5745548165629906E-3</c:v>
                      </c:pt>
                      <c:pt idx="48">
                        <c:v>-1.5514658677509008E-3</c:v>
                      </c:pt>
                      <c:pt idx="49">
                        <c:v>7.7693832717142808E-3</c:v>
                      </c:pt>
                      <c:pt idx="50">
                        <c:v>-2.9774564015312421E-3</c:v>
                      </c:pt>
                      <c:pt idx="51">
                        <c:v>3.3596416382253302E-3</c:v>
                      </c:pt>
                      <c:pt idx="52">
                        <c:v>6.6436353972894047E-3</c:v>
                      </c:pt>
                      <c:pt idx="53">
                        <c:v>8.9757127771910028E-3</c:v>
                      </c:pt>
                      <c:pt idx="54">
                        <c:v>-4.7095761381477086E-4</c:v>
                      </c:pt>
                      <c:pt idx="55">
                        <c:v>5.7588607926284396E-4</c:v>
                      </c:pt>
                      <c:pt idx="56">
                        <c:v>-3.4010046044370412E-3</c:v>
                      </c:pt>
                      <c:pt idx="57">
                        <c:v>-1.0447839554785565E-2</c:v>
                      </c:pt>
                      <c:pt idx="58">
                        <c:v>-1.6924872665534774E-2</c:v>
                      </c:pt>
                      <c:pt idx="59">
                        <c:v>1.1819310270386962E-2</c:v>
                      </c:pt>
                      <c:pt idx="60">
                        <c:v>-4.3204608491572705E-3</c:v>
                      </c:pt>
                      <c:pt idx="61">
                        <c:v>-7.9284298494669558E-3</c:v>
                      </c:pt>
                      <c:pt idx="62">
                        <c:v>-1.268967006857824E-2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3C4-4E64-85E3-1FA6CE7AD65C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Services'!$C$14:$BM$14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9.6623605788856981E-3</c:v>
                      </c:pt>
                      <c:pt idx="2">
                        <c:v>3.70405391746087E-3</c:v>
                      </c:pt>
                      <c:pt idx="3">
                        <c:v>-1.1857309462782739E-3</c:v>
                      </c:pt>
                      <c:pt idx="4">
                        <c:v>7.0252584059171674E-4</c:v>
                      </c:pt>
                      <c:pt idx="5">
                        <c:v>2.7301269509030224E-3</c:v>
                      </c:pt>
                      <c:pt idx="6">
                        <c:v>2.5606285532773221E-3</c:v>
                      </c:pt>
                      <c:pt idx="7">
                        <c:v>-1.9624452002533488E-3</c:v>
                      </c:pt>
                      <c:pt idx="8">
                        <c:v>1.5646207819215441E-3</c:v>
                      </c:pt>
                      <c:pt idx="9">
                        <c:v>7.1155040364301314E-4</c:v>
                      </c:pt>
                      <c:pt idx="10">
                        <c:v>8.3709325024883263E-4</c:v>
                      </c:pt>
                      <c:pt idx="11">
                        <c:v>7.6954624866387711E-3</c:v>
                      </c:pt>
                      <c:pt idx="12">
                        <c:v>5.0313094864229413E-4</c:v>
                      </c:pt>
                      <c:pt idx="13">
                        <c:v>-5.9256317203881803E-4</c:v>
                      </c:pt>
                      <c:pt idx="14">
                        <c:v>-3.7561935529359936E-3</c:v>
                      </c:pt>
                      <c:pt idx="15">
                        <c:v>-1.5827773238195064E-3</c:v>
                      </c:pt>
                      <c:pt idx="16">
                        <c:v>2.1749357185665286E-3</c:v>
                      </c:pt>
                      <c:pt idx="17">
                        <c:v>7.5073385439943241E-3</c:v>
                      </c:pt>
                      <c:pt idx="18">
                        <c:v>2.1955297992111156E-3</c:v>
                      </c:pt>
                      <c:pt idx="19">
                        <c:v>4.1744679225097503E-3</c:v>
                      </c:pt>
                      <c:pt idx="20">
                        <c:v>-4.0112505271703291E-3</c:v>
                      </c:pt>
                      <c:pt idx="21">
                        <c:v>-8.6310641901572449E-3</c:v>
                      </c:pt>
                      <c:pt idx="22">
                        <c:v>-6.6380420505672832E-3</c:v>
                      </c:pt>
                      <c:pt idx="23">
                        <c:v>6.323548428811776E-3</c:v>
                      </c:pt>
                      <c:pt idx="24">
                        <c:v>1.500276282141666E-3</c:v>
                      </c:pt>
                      <c:pt idx="25">
                        <c:v>9.1357303933048417E-3</c:v>
                      </c:pt>
                      <c:pt idx="26">
                        <c:v>-3.1628368262283102E-3</c:v>
                      </c:pt>
                      <c:pt idx="27">
                        <c:v>-1.0969527672547441E-3</c:v>
                      </c:pt>
                      <c:pt idx="28">
                        <c:v>2.9082017034209873E-3</c:v>
                      </c:pt>
                      <c:pt idx="29">
                        <c:v>8.5751663945150547E-3</c:v>
                      </c:pt>
                      <c:pt idx="30">
                        <c:v>7.258794976916505E-5</c:v>
                      </c:pt>
                      <c:pt idx="31">
                        <c:v>7.1478162080280683E-3</c:v>
                      </c:pt>
                      <c:pt idx="32">
                        <c:v>3.3527080167328194E-4</c:v>
                      </c:pt>
                      <c:pt idx="33">
                        <c:v>-4.3226040870536497E-4</c:v>
                      </c:pt>
                      <c:pt idx="34">
                        <c:v>4.4592214694434418E-3</c:v>
                      </c:pt>
                      <c:pt idx="35">
                        <c:v>4.9448269622538454E-3</c:v>
                      </c:pt>
                      <c:pt idx="36">
                        <c:v>8.6613146571812294E-4</c:v>
                      </c:pt>
                      <c:pt idx="37">
                        <c:v>-1.9540882317370389E-4</c:v>
                      </c:pt>
                      <c:pt idx="38">
                        <c:v>5.1281573999961694E-3</c:v>
                      </c:pt>
                      <c:pt idx="39">
                        <c:v>3.3951560382883272E-5</c:v>
                      </c:pt>
                      <c:pt idx="40">
                        <c:v>-5.7808285134042237E-3</c:v>
                      </c:pt>
                      <c:pt idx="41">
                        <c:v>2.9460247292234509E-3</c:v>
                      </c:pt>
                      <c:pt idx="42">
                        <c:v>8.3787815945375321E-3</c:v>
                      </c:pt>
                      <c:pt idx="43">
                        <c:v>-7.059870773669763E-3</c:v>
                      </c:pt>
                      <c:pt idx="44">
                        <c:v>3.5333941295578875E-3</c:v>
                      </c:pt>
                      <c:pt idx="45">
                        <c:v>-2.8032085956850583E-3</c:v>
                      </c:pt>
                      <c:pt idx="46">
                        <c:v>4.9024150649641385E-3</c:v>
                      </c:pt>
                      <c:pt idx="47">
                        <c:v>6.6552927252885308E-3</c:v>
                      </c:pt>
                      <c:pt idx="48">
                        <c:v>-2.8552233792408233E-3</c:v>
                      </c:pt>
                      <c:pt idx="49">
                        <c:v>6.9762812562206289E-3</c:v>
                      </c:pt>
                      <c:pt idx="50">
                        <c:v>-1.5145386587512855E-3</c:v>
                      </c:pt>
                      <c:pt idx="51">
                        <c:v>1.870155186330269E-3</c:v>
                      </c:pt>
                      <c:pt idx="52">
                        <c:v>8.3665471879950104E-3</c:v>
                      </c:pt>
                      <c:pt idx="53">
                        <c:v>3.862144651035182E-3</c:v>
                      </c:pt>
                      <c:pt idx="54">
                        <c:v>-2.6519542770646609E-3</c:v>
                      </c:pt>
                      <c:pt idx="55">
                        <c:v>2.8908783753256451E-4</c:v>
                      </c:pt>
                      <c:pt idx="56">
                        <c:v>1.1409648528637462E-3</c:v>
                      </c:pt>
                      <c:pt idx="57">
                        <c:v>-9.0421405245464381E-3</c:v>
                      </c:pt>
                      <c:pt idx="58">
                        <c:v>-1.5730684849202037E-2</c:v>
                      </c:pt>
                      <c:pt idx="59">
                        <c:v>1.0053551114029613E-2</c:v>
                      </c:pt>
                      <c:pt idx="60">
                        <c:v>-8.6684736160957954E-4</c:v>
                      </c:pt>
                      <c:pt idx="61">
                        <c:v>3.1343557157694768E-3</c:v>
                      </c:pt>
                      <c:pt idx="62">
                        <c:v>-1.7705852615678808E-2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3C4-4E64-85E3-1FA6CE7AD65C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Services'!$C$15:$BM$15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1.0279154709105232E-2</c:v>
                      </c:pt>
                      <c:pt idx="2">
                        <c:v>5.6812312777605456E-3</c:v>
                      </c:pt>
                      <c:pt idx="3">
                        <c:v>-2.0542317173377622E-3</c:v>
                      </c:pt>
                      <c:pt idx="4">
                        <c:v>-1.4254837381638463E-2</c:v>
                      </c:pt>
                      <c:pt idx="5">
                        <c:v>-5.8992430174890087E-3</c:v>
                      </c:pt>
                      <c:pt idx="6">
                        <c:v>2.205650666946779E-3</c:v>
                      </c:pt>
                      <c:pt idx="7">
                        <c:v>-6.4451896876964732E-3</c:v>
                      </c:pt>
                      <c:pt idx="8">
                        <c:v>2.5631559516902991E-2</c:v>
                      </c:pt>
                      <c:pt idx="9">
                        <c:v>-6.5819920810408217E-3</c:v>
                      </c:pt>
                      <c:pt idx="10">
                        <c:v>-2.0705005435062152E-4</c:v>
                      </c:pt>
                      <c:pt idx="11">
                        <c:v>1.0095780481490957E-2</c:v>
                      </c:pt>
                      <c:pt idx="12">
                        <c:v>1.178882624295241E-2</c:v>
                      </c:pt>
                      <c:pt idx="13">
                        <c:v>9.7264437689970062E-3</c:v>
                      </c:pt>
                      <c:pt idx="14">
                        <c:v>-9.0808749749147211E-3</c:v>
                      </c:pt>
                      <c:pt idx="15">
                        <c:v>2.1264746088807129E-3</c:v>
                      </c:pt>
                      <c:pt idx="16">
                        <c:v>4.4965391805182886E-3</c:v>
                      </c:pt>
                      <c:pt idx="17">
                        <c:v>4.8787848304998604E-3</c:v>
                      </c:pt>
                      <c:pt idx="18">
                        <c:v>-4.1043095250011818E-3</c:v>
                      </c:pt>
                      <c:pt idx="19">
                        <c:v>1.5228426395939021E-2</c:v>
                      </c:pt>
                      <c:pt idx="20">
                        <c:v>-1.7821782178218948E-3</c:v>
                      </c:pt>
                      <c:pt idx="21">
                        <c:v>-9.6211069232294832E-3</c:v>
                      </c:pt>
                      <c:pt idx="22">
                        <c:v>-4.4066099148722948E-3</c:v>
                      </c:pt>
                      <c:pt idx="23">
                        <c:v>-5.5326425912882726E-4</c:v>
                      </c:pt>
                      <c:pt idx="24">
                        <c:v>3.2710985858790398E-3</c:v>
                      </c:pt>
                      <c:pt idx="25">
                        <c:v>8.47712680577839E-3</c:v>
                      </c:pt>
                      <c:pt idx="26">
                        <c:v>1.4424272569011354E-3</c:v>
                      </c:pt>
                      <c:pt idx="27">
                        <c:v>-2.3343597894109891E-3</c:v>
                      </c:pt>
                      <c:pt idx="28">
                        <c:v>6.919898441778205E-3</c:v>
                      </c:pt>
                      <c:pt idx="29">
                        <c:v>-2.7242163551863929E-2</c:v>
                      </c:pt>
                      <c:pt idx="30">
                        <c:v>-1.3418043202032992E-2</c:v>
                      </c:pt>
                      <c:pt idx="31">
                        <c:v>1.9628045953325346E-2</c:v>
                      </c:pt>
                      <c:pt idx="32">
                        <c:v>2.374696847210922E-3</c:v>
                      </c:pt>
                      <c:pt idx="33">
                        <c:v>2.0716769998487816E-2</c:v>
                      </c:pt>
                      <c:pt idx="34">
                        <c:v>1.7580246913580178E-2</c:v>
                      </c:pt>
                      <c:pt idx="35">
                        <c:v>1.1647093079685256E-3</c:v>
                      </c:pt>
                      <c:pt idx="36">
                        <c:v>-5.8167716917112422E-4</c:v>
                      </c:pt>
                      <c:pt idx="37">
                        <c:v>-5.1411388107478473E-3</c:v>
                      </c:pt>
                      <c:pt idx="38">
                        <c:v>1.3016770670826849E-2</c:v>
                      </c:pt>
                      <c:pt idx="39">
                        <c:v>1.4918908513403828E-3</c:v>
                      </c:pt>
                      <c:pt idx="40">
                        <c:v>-1.7731859682844742E-2</c:v>
                      </c:pt>
                      <c:pt idx="41">
                        <c:v>4.1093879947164957E-3</c:v>
                      </c:pt>
                      <c:pt idx="42">
                        <c:v>2.2070645554202128E-2</c:v>
                      </c:pt>
                      <c:pt idx="43">
                        <c:v>-5.29125750786541E-3</c:v>
                      </c:pt>
                      <c:pt idx="44">
                        <c:v>1.8833564959026328E-2</c:v>
                      </c:pt>
                      <c:pt idx="45">
                        <c:v>2.1636876763875268E-3</c:v>
                      </c:pt>
                      <c:pt idx="46">
                        <c:v>1.0137989298788952E-2</c:v>
                      </c:pt>
                      <c:pt idx="47">
                        <c:v>1.4310937645200417E-2</c:v>
                      </c:pt>
                      <c:pt idx="48">
                        <c:v>-1.0994044892350674E-3</c:v>
                      </c:pt>
                      <c:pt idx="49">
                        <c:v>1.7655691094194292E-2</c:v>
                      </c:pt>
                      <c:pt idx="50">
                        <c:v>-1.284304447749085E-2</c:v>
                      </c:pt>
                      <c:pt idx="51">
                        <c:v>9.5407650871908167E-3</c:v>
                      </c:pt>
                      <c:pt idx="52">
                        <c:v>2.8035270178612404E-3</c:v>
                      </c:pt>
                      <c:pt idx="53">
                        <c:v>1.6683951841998113E-3</c:v>
                      </c:pt>
                      <c:pt idx="54">
                        <c:v>-3.1511659313945284E-3</c:v>
                      </c:pt>
                      <c:pt idx="55">
                        <c:v>-5.4190751445093444E-4</c:v>
                      </c:pt>
                      <c:pt idx="56">
                        <c:v>-7.0486173865895729E-3</c:v>
                      </c:pt>
                      <c:pt idx="57">
                        <c:v>-8.2817619220968419E-3</c:v>
                      </c:pt>
                      <c:pt idx="58">
                        <c:v>-1.4086445810773562E-2</c:v>
                      </c:pt>
                      <c:pt idx="59">
                        <c:v>1.358961232373046E-2</c:v>
                      </c:pt>
                      <c:pt idx="60">
                        <c:v>2.4978189999540934E-2</c:v>
                      </c:pt>
                      <c:pt idx="61">
                        <c:v>-6.1371679433767867E-2</c:v>
                      </c:pt>
                      <c:pt idx="62">
                        <c:v>-3.636710733546511E-2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3C4-4E64-85E3-1FA6CE7AD65C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Services'!$C$16:$BM$16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1.3700506918756794E-4</c:v>
                      </c:pt>
                      <c:pt idx="2">
                        <c:v>-2.4520547945205529E-2</c:v>
                      </c:pt>
                      <c:pt idx="3">
                        <c:v>-3.4264850442353612E-2</c:v>
                      </c:pt>
                      <c:pt idx="4">
                        <c:v>-2.5156318161989044E-2</c:v>
                      </c:pt>
                      <c:pt idx="5">
                        <c:v>3.9677804295942698E-2</c:v>
                      </c:pt>
                      <c:pt idx="6">
                        <c:v>-8.8952654232424822E-3</c:v>
                      </c:pt>
                      <c:pt idx="7">
                        <c:v>-5.6456282570932492E-3</c:v>
                      </c:pt>
                      <c:pt idx="8">
                        <c:v>-4.0762847576066852E-3</c:v>
                      </c:pt>
                      <c:pt idx="9">
                        <c:v>4.2391463236370885E-3</c:v>
                      </c:pt>
                      <c:pt idx="10">
                        <c:v>9.898107714701565E-3</c:v>
                      </c:pt>
                      <c:pt idx="11">
                        <c:v>1.0089362928797918E-2</c:v>
                      </c:pt>
                      <c:pt idx="12">
                        <c:v>1.4412100456621113E-2</c:v>
                      </c:pt>
                      <c:pt idx="13">
                        <c:v>1.0831340554227076E-2</c:v>
                      </c:pt>
                      <c:pt idx="14">
                        <c:v>-1.9343167269691097E-2</c:v>
                      </c:pt>
                      <c:pt idx="15">
                        <c:v>-6.1018873279408137E-3</c:v>
                      </c:pt>
                      <c:pt idx="16">
                        <c:v>-2.4271844660194164E-3</c:v>
                      </c:pt>
                      <c:pt idx="17">
                        <c:v>-8.4442536138543689E-3</c:v>
                      </c:pt>
                      <c:pt idx="18">
                        <c:v>1.5733256351039282E-2</c:v>
                      </c:pt>
                      <c:pt idx="19">
                        <c:v>-3.1263322438539465E-3</c:v>
                      </c:pt>
                      <c:pt idx="20">
                        <c:v>4.7042052744119545E-3</c:v>
                      </c:pt>
                      <c:pt idx="21">
                        <c:v>-2.9228149829738981E-2</c:v>
                      </c:pt>
                      <c:pt idx="22">
                        <c:v>-2.3384975153463161E-3</c:v>
                      </c:pt>
                      <c:pt idx="23">
                        <c:v>-4.1019630823322384E-3</c:v>
                      </c:pt>
                      <c:pt idx="24">
                        <c:v>2.2065313327448433E-3</c:v>
                      </c:pt>
                      <c:pt idx="25">
                        <c:v>-3.8162336709230971E-3</c:v>
                      </c:pt>
                      <c:pt idx="26">
                        <c:v>-8.8404302342715013E-4</c:v>
                      </c:pt>
                      <c:pt idx="27">
                        <c:v>6.4887184781006191E-3</c:v>
                      </c:pt>
                      <c:pt idx="28">
                        <c:v>5.4212454212454464E-3</c:v>
                      </c:pt>
                      <c:pt idx="29">
                        <c:v>6.8493150684931781E-3</c:v>
                      </c:pt>
                      <c:pt idx="30">
                        <c:v>4.0816326530612068E-2</c:v>
                      </c:pt>
                      <c:pt idx="31">
                        <c:v>5.5625086914199429E-3</c:v>
                      </c:pt>
                      <c:pt idx="32">
                        <c:v>-1.7563269257364067E-2</c:v>
                      </c:pt>
                      <c:pt idx="33">
                        <c:v>2.8153153153152033E-3</c:v>
                      </c:pt>
                      <c:pt idx="34">
                        <c:v>8.5766423357664268E-2</c:v>
                      </c:pt>
                      <c:pt idx="35">
                        <c:v>3.2449903038138439E-2</c:v>
                      </c:pt>
                      <c:pt idx="36">
                        <c:v>4.0070122714752632E-3</c:v>
                      </c:pt>
                      <c:pt idx="37">
                        <c:v>9.4786729857818663E-3</c:v>
                      </c:pt>
                      <c:pt idx="38">
                        <c:v>1.9397084259945796E-2</c:v>
                      </c:pt>
                      <c:pt idx="39">
                        <c:v>1.8422009453399557E-2</c:v>
                      </c:pt>
                      <c:pt idx="40">
                        <c:v>-1.2495537308104265E-2</c:v>
                      </c:pt>
                      <c:pt idx="41">
                        <c:v>-1.0484454085321837E-2</c:v>
                      </c:pt>
                      <c:pt idx="42">
                        <c:v>2.5331871879186396E-2</c:v>
                      </c:pt>
                      <c:pt idx="43">
                        <c:v>-1.0690105713268006E-3</c:v>
                      </c:pt>
                      <c:pt idx="44">
                        <c:v>2.6159334126041323E-3</c:v>
                      </c:pt>
                      <c:pt idx="45">
                        <c:v>-5.9297912713472956E-3</c:v>
                      </c:pt>
                      <c:pt idx="46">
                        <c:v>1.4674302075876833E-2</c:v>
                      </c:pt>
                      <c:pt idx="47">
                        <c:v>8.2304526748970819E-3</c:v>
                      </c:pt>
                      <c:pt idx="48">
                        <c:v>1.6093294460641339E-2</c:v>
                      </c:pt>
                      <c:pt idx="49">
                        <c:v>2.811890278893614E-2</c:v>
                      </c:pt>
                      <c:pt idx="50">
                        <c:v>1.5628488501897575E-3</c:v>
                      </c:pt>
                      <c:pt idx="51">
                        <c:v>1.5381185911725215E-2</c:v>
                      </c:pt>
                      <c:pt idx="52">
                        <c:v>1.4818880351262553E-2</c:v>
                      </c:pt>
                      <c:pt idx="53">
                        <c:v>-1.4494321254732379E-2</c:v>
                      </c:pt>
                      <c:pt idx="54">
                        <c:v>-1.4927011305015947E-2</c:v>
                      </c:pt>
                      <c:pt idx="55">
                        <c:v>-2.1169916434540248E-3</c:v>
                      </c:pt>
                      <c:pt idx="56">
                        <c:v>-1.2170611880303772E-2</c:v>
                      </c:pt>
                      <c:pt idx="57">
                        <c:v>-3.2779473267774417E-2</c:v>
                      </c:pt>
                      <c:pt idx="58">
                        <c:v>-1.425733317751543E-2</c:v>
                      </c:pt>
                      <c:pt idx="59">
                        <c:v>-4.623592175459379E-3</c:v>
                      </c:pt>
                      <c:pt idx="60">
                        <c:v>-3.4897570271557821E-2</c:v>
                      </c:pt>
                      <c:pt idx="61">
                        <c:v>2.4682216463034479E-4</c:v>
                      </c:pt>
                      <c:pt idx="62">
                        <c:v>-3.4916718075262199E-2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3C4-4E64-85E3-1FA6CE7AD65C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Services'!$C$17:$BM$17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1.195115614445319E-2</c:v>
                      </c:pt>
                      <c:pt idx="2">
                        <c:v>-1.540436456996197E-3</c:v>
                      </c:pt>
                      <c:pt idx="3">
                        <c:v>7.1997942915917879E-3</c:v>
                      </c:pt>
                      <c:pt idx="4">
                        <c:v>2.0423793719683836E-3</c:v>
                      </c:pt>
                      <c:pt idx="5">
                        <c:v>4.331210191082846E-3</c:v>
                      </c:pt>
                      <c:pt idx="6">
                        <c:v>-1.0147133434804667E-3</c:v>
                      </c:pt>
                      <c:pt idx="7">
                        <c:v>-2.5393600812606554E-4</c:v>
                      </c:pt>
                      <c:pt idx="8">
                        <c:v>-5.080010160020243E-3</c:v>
                      </c:pt>
                      <c:pt idx="9">
                        <c:v>-2.5529742149621448E-4</c:v>
                      </c:pt>
                      <c:pt idx="10">
                        <c:v>-5.3626149131765777E-3</c:v>
                      </c:pt>
                      <c:pt idx="11">
                        <c:v>1.4120667522464547E-2</c:v>
                      </c:pt>
                      <c:pt idx="12">
                        <c:v>3.2911392405063911E-3</c:v>
                      </c:pt>
                      <c:pt idx="13">
                        <c:v>-4.1130456724703612E-2</c:v>
                      </c:pt>
                      <c:pt idx="14">
                        <c:v>-2.1578947368421031E-2</c:v>
                      </c:pt>
                      <c:pt idx="15">
                        <c:v>1.1296395911780666E-2</c:v>
                      </c:pt>
                      <c:pt idx="16">
                        <c:v>3.9893617021276029E-3</c:v>
                      </c:pt>
                      <c:pt idx="17">
                        <c:v>-1.2980132450331139E-2</c:v>
                      </c:pt>
                      <c:pt idx="18">
                        <c:v>3.7573805689747886E-3</c:v>
                      </c:pt>
                      <c:pt idx="19">
                        <c:v>6.9518716577539053E-3</c:v>
                      </c:pt>
                      <c:pt idx="20">
                        <c:v>-7.4349442379180175E-3</c:v>
                      </c:pt>
                      <c:pt idx="21">
                        <c:v>-1.6051364365972098E-3</c:v>
                      </c:pt>
                      <c:pt idx="22">
                        <c:v>6.1629153269022741E-3</c:v>
                      </c:pt>
                      <c:pt idx="23">
                        <c:v>1.4647137150466172E-2</c:v>
                      </c:pt>
                      <c:pt idx="24">
                        <c:v>2.3622047244094002E-3</c:v>
                      </c:pt>
                      <c:pt idx="25">
                        <c:v>2.6184865147960146E-4</c:v>
                      </c:pt>
                      <c:pt idx="26">
                        <c:v>-4.1884816753927634E-3</c:v>
                      </c:pt>
                      <c:pt idx="27">
                        <c:v>5.2576235541534899E-4</c:v>
                      </c:pt>
                      <c:pt idx="28">
                        <c:v>2.8901734104045396E-3</c:v>
                      </c:pt>
                      <c:pt idx="29">
                        <c:v>4.7157453497510549E-3</c:v>
                      </c:pt>
                      <c:pt idx="30">
                        <c:v>-2.3468057366363704E-3</c:v>
                      </c:pt>
                      <c:pt idx="31">
                        <c:v>8.6251960271825912E-3</c:v>
                      </c:pt>
                      <c:pt idx="32">
                        <c:v>-2.3322104172066593E-3</c:v>
                      </c:pt>
                      <c:pt idx="33">
                        <c:v>6.2337662337663691E-3</c:v>
                      </c:pt>
                      <c:pt idx="34">
                        <c:v>4.9044914816727125E-3</c:v>
                      </c:pt>
                      <c:pt idx="35">
                        <c:v>5.6511687644489328E-3</c:v>
                      </c:pt>
                      <c:pt idx="36">
                        <c:v>-2.0434227330778931E-3</c:v>
                      </c:pt>
                      <c:pt idx="37">
                        <c:v>-2.8154594317890691E-3</c:v>
                      </c:pt>
                      <c:pt idx="38">
                        <c:v>5.1334702258725162E-3</c:v>
                      </c:pt>
                      <c:pt idx="39">
                        <c:v>2.0429009193054792E-3</c:v>
                      </c:pt>
                      <c:pt idx="40">
                        <c:v>-5.0968399592253855E-3</c:v>
                      </c:pt>
                      <c:pt idx="41">
                        <c:v>1.0245901639343025E-3</c:v>
                      </c:pt>
                      <c:pt idx="42">
                        <c:v>-5.6294779938587114E-3</c:v>
                      </c:pt>
                      <c:pt idx="43">
                        <c:v>5.1466803911477399E-3</c:v>
                      </c:pt>
                      <c:pt idx="44">
                        <c:v>1.0240655401945187E-3</c:v>
                      </c:pt>
                      <c:pt idx="45">
                        <c:v>3.8363171355497716E-3</c:v>
                      </c:pt>
                      <c:pt idx="46">
                        <c:v>3.0573248407643749E-3</c:v>
                      </c:pt>
                      <c:pt idx="47">
                        <c:v>-1.4478028956057876E-2</c:v>
                      </c:pt>
                      <c:pt idx="48">
                        <c:v>-5.9278350515462597E-3</c:v>
                      </c:pt>
                      <c:pt idx="49">
                        <c:v>-1.2185636505055664E-2</c:v>
                      </c:pt>
                      <c:pt idx="50">
                        <c:v>-2.6246719160094578E-4</c:v>
                      </c:pt>
                      <c:pt idx="51">
                        <c:v>-5.7757941716987116E-3</c:v>
                      </c:pt>
                      <c:pt idx="52">
                        <c:v>4.2249801954055144E-3</c:v>
                      </c:pt>
                      <c:pt idx="53">
                        <c:v>9.2032605837497616E-3</c:v>
                      </c:pt>
                      <c:pt idx="54">
                        <c:v>3.6477331943720603E-3</c:v>
                      </c:pt>
                      <c:pt idx="55">
                        <c:v>1.349948078920038E-2</c:v>
                      </c:pt>
                      <c:pt idx="56">
                        <c:v>-1.0502049180327822E-2</c:v>
                      </c:pt>
                      <c:pt idx="57">
                        <c:v>-3.3652601604970966E-3</c:v>
                      </c:pt>
                      <c:pt idx="58">
                        <c:v>-6.4935064935064402E-3</c:v>
                      </c:pt>
                      <c:pt idx="59">
                        <c:v>8.6274509803920818E-3</c:v>
                      </c:pt>
                      <c:pt idx="60">
                        <c:v>-3.9657853810264432E-2</c:v>
                      </c:pt>
                      <c:pt idx="61">
                        <c:v>1.025641025641022E-2</c:v>
                      </c:pt>
                      <c:pt idx="62">
                        <c:v>5.0761421319795996E-3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C4-4E64-85E3-1FA6CE7AD65C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Services'!$C$18:$BM$18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1.0684779154750634E-2</c:v>
                      </c:pt>
                      <c:pt idx="2">
                        <c:v>1.3645116918844513E-2</c:v>
                      </c:pt>
                      <c:pt idx="3">
                        <c:v>1.4190336613395527E-3</c:v>
                      </c:pt>
                      <c:pt idx="4">
                        <c:v>-3.3296165520668719E-4</c:v>
                      </c:pt>
                      <c:pt idx="5">
                        <c:v>1.2339176303824084E-2</c:v>
                      </c:pt>
                      <c:pt idx="6">
                        <c:v>1.5762008967512564E-3</c:v>
                      </c:pt>
                      <c:pt idx="7">
                        <c:v>-8.1894576012223608E-3</c:v>
                      </c:pt>
                      <c:pt idx="8">
                        <c:v>-8.2416735989154777E-4</c:v>
                      </c:pt>
                      <c:pt idx="9">
                        <c:v>-7.9401176370819115E-4</c:v>
                      </c:pt>
                      <c:pt idx="10">
                        <c:v>1.0006326281843503E-2</c:v>
                      </c:pt>
                      <c:pt idx="11">
                        <c:v>1.8630409044036123E-2</c:v>
                      </c:pt>
                      <c:pt idx="12">
                        <c:v>-1.0273407621818609E-2</c:v>
                      </c:pt>
                      <c:pt idx="13">
                        <c:v>-5.4930900715238762E-3</c:v>
                      </c:pt>
                      <c:pt idx="14">
                        <c:v>-8.1746775459207166E-3</c:v>
                      </c:pt>
                      <c:pt idx="15">
                        <c:v>-1.3211866099271941E-3</c:v>
                      </c:pt>
                      <c:pt idx="16">
                        <c:v>-4.9763871583060615E-3</c:v>
                      </c:pt>
                      <c:pt idx="17">
                        <c:v>9.2527460635247749E-3</c:v>
                      </c:pt>
                      <c:pt idx="18">
                        <c:v>5.6370821972364649E-3</c:v>
                      </c:pt>
                      <c:pt idx="19">
                        <c:v>-6.6260472201062903E-4</c:v>
                      </c:pt>
                      <c:pt idx="20">
                        <c:v>-6.1274416406912335E-3</c:v>
                      </c:pt>
                      <c:pt idx="21">
                        <c:v>-1.1678641811531443E-2</c:v>
                      </c:pt>
                      <c:pt idx="22">
                        <c:v>4.5621712210792698E-3</c:v>
                      </c:pt>
                      <c:pt idx="23">
                        <c:v>1.8691011322736539E-2</c:v>
                      </c:pt>
                      <c:pt idx="24">
                        <c:v>6.0806405143525311E-3</c:v>
                      </c:pt>
                      <c:pt idx="25">
                        <c:v>9.3672755772593597E-3</c:v>
                      </c:pt>
                      <c:pt idx="26">
                        <c:v>2.6877907106965804E-3</c:v>
                      </c:pt>
                      <c:pt idx="27">
                        <c:v>-7.4460718248015034E-5</c:v>
                      </c:pt>
                      <c:pt idx="28">
                        <c:v>1.0127411776092998E-3</c:v>
                      </c:pt>
                      <c:pt idx="29">
                        <c:v>3.1541751906267734E-3</c:v>
                      </c:pt>
                      <c:pt idx="30">
                        <c:v>-1.2013437252038628E-3</c:v>
                      </c:pt>
                      <c:pt idx="31">
                        <c:v>1.0268251575876075E-2</c:v>
                      </c:pt>
                      <c:pt idx="32">
                        <c:v>-4.2698611009038823E-3</c:v>
                      </c:pt>
                      <c:pt idx="33">
                        <c:v>-2.1994405449888843E-3</c:v>
                      </c:pt>
                      <c:pt idx="34">
                        <c:v>3.3508147731726723E-3</c:v>
                      </c:pt>
                      <c:pt idx="35">
                        <c:v>-3.8483088083512973E-3</c:v>
                      </c:pt>
                      <c:pt idx="36">
                        <c:v>-4.3664244164531851E-4</c:v>
                      </c:pt>
                      <c:pt idx="37">
                        <c:v>-4.5904503824141241E-3</c:v>
                      </c:pt>
                      <c:pt idx="38">
                        <c:v>1.3418325982014645E-2</c:v>
                      </c:pt>
                      <c:pt idx="39">
                        <c:v>-5.7469155284152196E-3</c:v>
                      </c:pt>
                      <c:pt idx="40">
                        <c:v>-1.1021378373590074E-2</c:v>
                      </c:pt>
                      <c:pt idx="41">
                        <c:v>-2.388576632256223E-4</c:v>
                      </c:pt>
                      <c:pt idx="42">
                        <c:v>2.1868163865640389E-2</c:v>
                      </c:pt>
                      <c:pt idx="43">
                        <c:v>-5.2313177660228138E-3</c:v>
                      </c:pt>
                      <c:pt idx="44">
                        <c:v>2.6654033727010917E-2</c:v>
                      </c:pt>
                      <c:pt idx="45">
                        <c:v>-1.931592991894493E-3</c:v>
                      </c:pt>
                      <c:pt idx="46">
                        <c:v>7.1177183161184043E-3</c:v>
                      </c:pt>
                      <c:pt idx="47">
                        <c:v>1.0497921767351759E-2</c:v>
                      </c:pt>
                      <c:pt idx="48">
                        <c:v>6.4587016389747731E-3</c:v>
                      </c:pt>
                      <c:pt idx="49">
                        <c:v>7.7468928451460695E-3</c:v>
                      </c:pt>
                      <c:pt idx="50">
                        <c:v>-6.5554189843267663E-3</c:v>
                      </c:pt>
                      <c:pt idx="51">
                        <c:v>6.0184958653424214E-3</c:v>
                      </c:pt>
                      <c:pt idx="52">
                        <c:v>7.6153418565869657E-3</c:v>
                      </c:pt>
                      <c:pt idx="53">
                        <c:v>2.0246041816075477E-2</c:v>
                      </c:pt>
                      <c:pt idx="54">
                        <c:v>1.8451930355791735E-3</c:v>
                      </c:pt>
                      <c:pt idx="55">
                        <c:v>1.2953280485747953E-3</c:v>
                      </c:pt>
                      <c:pt idx="56">
                        <c:v>3.503641766104959E-4</c:v>
                      </c:pt>
                      <c:pt idx="57">
                        <c:v>-1.2473984468138077E-2</c:v>
                      </c:pt>
                      <c:pt idx="58">
                        <c:v>-2.3489772673018883E-2</c:v>
                      </c:pt>
                      <c:pt idx="59">
                        <c:v>1.3110013759577654E-2</c:v>
                      </c:pt>
                      <c:pt idx="60">
                        <c:v>4.2743881420199692E-3</c:v>
                      </c:pt>
                      <c:pt idx="61">
                        <c:v>-1.6818837097549721E-3</c:v>
                      </c:pt>
                      <c:pt idx="62">
                        <c:v>-1.4763623861096753E-2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3C4-4E64-85E3-1FA6CE7AD65C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Services'!$C$19:$BM$19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2.1782635467980427E-2</c:v>
                      </c:pt>
                      <c:pt idx="2">
                        <c:v>1.2806026365348444E-3</c:v>
                      </c:pt>
                      <c:pt idx="3">
                        <c:v>-1.10592837797171E-2</c:v>
                      </c:pt>
                      <c:pt idx="4">
                        <c:v>-1.3693419551158437E-3</c:v>
                      </c:pt>
                      <c:pt idx="5">
                        <c:v>1.2874228688961598E-2</c:v>
                      </c:pt>
                      <c:pt idx="6">
                        <c:v>3.7605294825511448E-2</c:v>
                      </c:pt>
                      <c:pt idx="7">
                        <c:v>-8.8431429399825623E-3</c:v>
                      </c:pt>
                      <c:pt idx="8">
                        <c:v>1.345619423723865E-2</c:v>
                      </c:pt>
                      <c:pt idx="9">
                        <c:v>7.3170731707316916E-2</c:v>
                      </c:pt>
                      <c:pt idx="10">
                        <c:v>-1.0556750941366322E-2</c:v>
                      </c:pt>
                      <c:pt idx="11">
                        <c:v>-1.6853550798505035E-2</c:v>
                      </c:pt>
                      <c:pt idx="12">
                        <c:v>2.0598603718808395E-2</c:v>
                      </c:pt>
                      <c:pt idx="13">
                        <c:v>4.9441246190313759E-3</c:v>
                      </c:pt>
                      <c:pt idx="14">
                        <c:v>-9.772206496832414E-3</c:v>
                      </c:pt>
                      <c:pt idx="15">
                        <c:v>-2.0417886068191393E-4</c:v>
                      </c:pt>
                      <c:pt idx="16">
                        <c:v>9.4622191967324021E-3</c:v>
                      </c:pt>
                      <c:pt idx="17">
                        <c:v>9.4409602805314297E-3</c:v>
                      </c:pt>
                      <c:pt idx="18">
                        <c:v>1.3026922306099253E-2</c:v>
                      </c:pt>
                      <c:pt idx="19">
                        <c:v>-1.0551305724083582E-3</c:v>
                      </c:pt>
                      <c:pt idx="20">
                        <c:v>6.6015315553213938E-4</c:v>
                      </c:pt>
                      <c:pt idx="21">
                        <c:v>-6.3332893521573785E-3</c:v>
                      </c:pt>
                      <c:pt idx="22">
                        <c:v>-1.3544018058690654E-2</c:v>
                      </c:pt>
                      <c:pt idx="23">
                        <c:v>-2.019114281868406E-3</c:v>
                      </c:pt>
                      <c:pt idx="24">
                        <c:v>-5.6649581872133536E-3</c:v>
                      </c:pt>
                      <c:pt idx="25">
                        <c:v>1.4921323928378527E-3</c:v>
                      </c:pt>
                      <c:pt idx="26">
                        <c:v>-9.8198564269266209E-3</c:v>
                      </c:pt>
                      <c:pt idx="27">
                        <c:v>-7.5234252103151267E-4</c:v>
                      </c:pt>
                      <c:pt idx="28">
                        <c:v>1.0198494182067197E-2</c:v>
                      </c:pt>
                      <c:pt idx="29">
                        <c:v>1.1518395555254468E-3</c:v>
                      </c:pt>
                      <c:pt idx="30">
                        <c:v>-9.3394694098537512E-3</c:v>
                      </c:pt>
                      <c:pt idx="31">
                        <c:v>1.4209591474245276E-2</c:v>
                      </c:pt>
                      <c:pt idx="32">
                        <c:v>-4.917149400512022E-3</c:v>
                      </c:pt>
                      <c:pt idx="33">
                        <c:v>-9.9505855276518229E-3</c:v>
                      </c:pt>
                      <c:pt idx="34">
                        <c:v>-7.5208532749881929E-4</c:v>
                      </c:pt>
                      <c:pt idx="35">
                        <c:v>4.9948682860074811E-3</c:v>
                      </c:pt>
                      <c:pt idx="36">
                        <c:v>-1.4978213507625182E-2</c:v>
                      </c:pt>
                      <c:pt idx="37">
                        <c:v>4.2162012717721353E-3</c:v>
                      </c:pt>
                      <c:pt idx="38">
                        <c:v>2.8219423222519691E-3</c:v>
                      </c:pt>
                      <c:pt idx="39">
                        <c:v>3.4317089910773646E-4</c:v>
                      </c:pt>
                      <c:pt idx="40">
                        <c:v>-1.3584905660377289E-2</c:v>
                      </c:pt>
                      <c:pt idx="41">
                        <c:v>5.9817764484939584E-3</c:v>
                      </c:pt>
                      <c:pt idx="42">
                        <c:v>2.468367558597806E-2</c:v>
                      </c:pt>
                      <c:pt idx="43">
                        <c:v>-1.1470985155195623E-2</c:v>
                      </c:pt>
                      <c:pt idx="44">
                        <c:v>-5.8020477815698968E-3</c:v>
                      </c:pt>
                      <c:pt idx="45">
                        <c:v>3.4328870580146997E-4</c:v>
                      </c:pt>
                      <c:pt idx="46">
                        <c:v>-2.0590253946464188E-3</c:v>
                      </c:pt>
                      <c:pt idx="47">
                        <c:v>-3.9202200825309008E-3</c:v>
                      </c:pt>
                      <c:pt idx="48">
                        <c:v>-1.4499758337361834E-3</c:v>
                      </c:pt>
                      <c:pt idx="49">
                        <c:v>-5.1168579726179608E-3</c:v>
                      </c:pt>
                      <c:pt idx="50">
                        <c:v>9.1743119266054496E-3</c:v>
                      </c:pt>
                      <c:pt idx="51">
                        <c:v>-6.0606060606059886E-3</c:v>
                      </c:pt>
                      <c:pt idx="52">
                        <c:v>5.5432372505543892E-3</c:v>
                      </c:pt>
                      <c:pt idx="53">
                        <c:v>-5.443770672546755E-3</c:v>
                      </c:pt>
                      <c:pt idx="54">
                        <c:v>-5.3349961892884545E-3</c:v>
                      </c:pt>
                      <c:pt idx="55">
                        <c:v>3.1345778768459009E-3</c:v>
                      </c:pt>
                      <c:pt idx="56">
                        <c:v>-1.2568571626970337E-2</c:v>
                      </c:pt>
                      <c:pt idx="57">
                        <c:v>-1.4908579465541361E-2</c:v>
                      </c:pt>
                      <c:pt idx="58">
                        <c:v>-2.9840091376356459E-2</c:v>
                      </c:pt>
                      <c:pt idx="59">
                        <c:v>1.8175128771155347E-2</c:v>
                      </c:pt>
                      <c:pt idx="60">
                        <c:v>-1.6694370166943751E-2</c:v>
                      </c:pt>
                      <c:pt idx="61">
                        <c:v>1.2861972659121035E-2</c:v>
                      </c:pt>
                      <c:pt idx="62">
                        <c:v>3.6281837312241993E-3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C4-4E64-85E3-1FA6CE7AD65C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Services'!$C$20:$BM$20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1">
                        <c:v>-3.7479921470641164E-3</c:v>
                      </c:pt>
                      <c:pt idx="2">
                        <c:v>-1.9706198495162974E-3</c:v>
                      </c:pt>
                      <c:pt idx="3">
                        <c:v>-3.0515167833423673E-3</c:v>
                      </c:pt>
                      <c:pt idx="4">
                        <c:v>1.4764133957508196E-2</c:v>
                      </c:pt>
                      <c:pt idx="5">
                        <c:v>-3.2114975159687753E-2</c:v>
                      </c:pt>
                      <c:pt idx="6">
                        <c:v>-4.5829514207149646E-3</c:v>
                      </c:pt>
                      <c:pt idx="7">
                        <c:v>-3.2780847145487901E-2</c:v>
                      </c:pt>
                      <c:pt idx="8">
                        <c:v>-1.085300837776082E-2</c:v>
                      </c:pt>
                      <c:pt idx="9">
                        <c:v>7.3147256977863506E-3</c:v>
                      </c:pt>
                      <c:pt idx="10">
                        <c:v>7.070514045480758E-3</c:v>
                      </c:pt>
                      <c:pt idx="11">
                        <c:v>1.404174573055017E-2</c:v>
                      </c:pt>
                      <c:pt idx="12">
                        <c:v>-1.3285928143712544E-2</c:v>
                      </c:pt>
                      <c:pt idx="13">
                        <c:v>1.0430494974397853E-2</c:v>
                      </c:pt>
                      <c:pt idx="14">
                        <c:v>1.510885885885882E-2</c:v>
                      </c:pt>
                      <c:pt idx="15">
                        <c:v>-7.3033188499584956E-3</c:v>
                      </c:pt>
                      <c:pt idx="16">
                        <c:v>-1.2106537530266359E-2</c:v>
                      </c:pt>
                      <c:pt idx="17">
                        <c:v>1.300904977375561E-2</c:v>
                      </c:pt>
                      <c:pt idx="18">
                        <c:v>8.189093616229437E-3</c:v>
                      </c:pt>
                      <c:pt idx="19">
                        <c:v>5.7227247553994776E-3</c:v>
                      </c:pt>
                      <c:pt idx="20">
                        <c:v>6.4243759177680104E-3</c:v>
                      </c:pt>
                      <c:pt idx="21">
                        <c:v>-1.0942914462885311E-2</c:v>
                      </c:pt>
                      <c:pt idx="22">
                        <c:v>6.6383920339296854E-3</c:v>
                      </c:pt>
                      <c:pt idx="23">
                        <c:v>-1.3006045063198357E-2</c:v>
                      </c:pt>
                      <c:pt idx="24">
                        <c:v>2.0601336302895401E-2</c:v>
                      </c:pt>
                      <c:pt idx="25">
                        <c:v>4.0007274049826957E-3</c:v>
                      </c:pt>
                      <c:pt idx="26">
                        <c:v>-1.4852381814888571E-2</c:v>
                      </c:pt>
                      <c:pt idx="27">
                        <c:v>2.8497885640742737E-2</c:v>
                      </c:pt>
                      <c:pt idx="28">
                        <c:v>9.6531998569895361E-3</c:v>
                      </c:pt>
                      <c:pt idx="29">
                        <c:v>3.6827195467422191E-2</c:v>
                      </c:pt>
                      <c:pt idx="30">
                        <c:v>1.5368852459016757E-3</c:v>
                      </c:pt>
                      <c:pt idx="31">
                        <c:v>-6.8201193520889269E-4</c:v>
                      </c:pt>
                      <c:pt idx="32">
                        <c:v>-5.9716771881931363E-3</c:v>
                      </c:pt>
                      <c:pt idx="33">
                        <c:v>1.3044970820460078E-2</c:v>
                      </c:pt>
                      <c:pt idx="34">
                        <c:v>1.8637749915282331E-3</c:v>
                      </c:pt>
                      <c:pt idx="35">
                        <c:v>1.5220700152205335E-3</c:v>
                      </c:pt>
                      <c:pt idx="36">
                        <c:v>-5.572441742654477E-3</c:v>
                      </c:pt>
                      <c:pt idx="37">
                        <c:v>-1.358464934623882E-3</c:v>
                      </c:pt>
                      <c:pt idx="38">
                        <c:v>1.3603128719605895E-3</c:v>
                      </c:pt>
                      <c:pt idx="39">
                        <c:v>5.0093394464256757E-3</c:v>
                      </c:pt>
                      <c:pt idx="40">
                        <c:v>-5.1533327701275278E-3</c:v>
                      </c:pt>
                      <c:pt idx="41">
                        <c:v>9.1711956521738358E-3</c:v>
                      </c:pt>
                      <c:pt idx="42">
                        <c:v>-1.295859979804781E-2</c:v>
                      </c:pt>
                      <c:pt idx="43">
                        <c:v>3.4100596760455737E-4</c:v>
                      </c:pt>
                      <c:pt idx="44">
                        <c:v>1.8237600136356003E-2</c:v>
                      </c:pt>
                      <c:pt idx="45">
                        <c:v>9.9598259122866128E-3</c:v>
                      </c:pt>
                      <c:pt idx="46">
                        <c:v>-7.5412281428689498E-3</c:v>
                      </c:pt>
                      <c:pt idx="47">
                        <c:v>-9.0180360721442421E-3</c:v>
                      </c:pt>
                      <c:pt idx="48">
                        <c:v>-6.5722952477249574E-3</c:v>
                      </c:pt>
                      <c:pt idx="49">
                        <c:v>4.9194232400338045E-3</c:v>
                      </c:pt>
                      <c:pt idx="50">
                        <c:v>1.3673193787981042E-2</c:v>
                      </c:pt>
                      <c:pt idx="51">
                        <c:v>-6.8276436303079668E-3</c:v>
                      </c:pt>
                      <c:pt idx="52">
                        <c:v>1.3246143527833709E-2</c:v>
                      </c:pt>
                      <c:pt idx="53">
                        <c:v>1.3403938441171714E-2</c:v>
                      </c:pt>
                      <c:pt idx="54">
                        <c:v>2.9392553886349315E-3</c:v>
                      </c:pt>
                      <c:pt idx="55">
                        <c:v>-1.790947574080104E-2</c:v>
                      </c:pt>
                      <c:pt idx="56">
                        <c:v>-3.1498673740052441E-3</c:v>
                      </c:pt>
                      <c:pt idx="57">
                        <c:v>-1.2140362547813144E-2</c:v>
                      </c:pt>
                      <c:pt idx="58">
                        <c:v>-1.8181818181818188E-2</c:v>
                      </c:pt>
                      <c:pt idx="59">
                        <c:v>2.9320987654321007E-2</c:v>
                      </c:pt>
                      <c:pt idx="60">
                        <c:v>6.1635848742294108E-3</c:v>
                      </c:pt>
                      <c:pt idx="61">
                        <c:v>8.1125827814569895E-3</c:v>
                      </c:pt>
                      <c:pt idx="62">
                        <c:v>-3.9579569715881169E-2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3C4-4E64-85E3-1FA6CE7AD65C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Services'!$B$21</c15:sqref>
                        </c15:formulaRef>
                      </c:ext>
                    </c:extLst>
                    <c:strCache>
                      <c:ptCount val="1"/>
                      <c:pt idx="0">
                        <c:v>COMMUNICATION SERVICES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Services'!$C$21:$BM$21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1.0090434263274124</c:v>
                      </c:pt>
                      <c:pt idx="2">
                        <c:v>1.0111701501027361</c:v>
                      </c:pt>
                      <c:pt idx="3">
                        <c:v>1.0059979490806366</c:v>
                      </c:pt>
                      <c:pt idx="4">
                        <c:v>1.0025434480286752</c:v>
                      </c:pt>
                      <c:pt idx="5">
                        <c:v>1.0066798887695265</c:v>
                      </c:pt>
                      <c:pt idx="6">
                        <c:v>1.0116148759857824</c:v>
                      </c:pt>
                      <c:pt idx="7">
                        <c:v>1.0010873632845432</c:v>
                      </c:pt>
                      <c:pt idx="8">
                        <c:v>1.0055408224758682</c:v>
                      </c:pt>
                      <c:pt idx="9">
                        <c:v>1.0170696934561592</c:v>
                      </c:pt>
                      <c:pt idx="10">
                        <c:v>1.0196970463680988</c:v>
                      </c:pt>
                      <c:pt idx="11">
                        <c:v>1.0289615855642797</c:v>
                      </c:pt>
                      <c:pt idx="12">
                        <c:v>1.0316261406413854</c:v>
                      </c:pt>
                      <c:pt idx="13">
                        <c:v>1.0312275174415149</c:v>
                      </c:pt>
                      <c:pt idx="14">
                        <c:v>1.0230941940820952</c:v>
                      </c:pt>
                      <c:pt idx="15">
                        <c:v>1.022471807859217</c:v>
                      </c:pt>
                      <c:pt idx="16">
                        <c:v>1.0218989745203169</c:v>
                      </c:pt>
                      <c:pt idx="17">
                        <c:v>1.0269357676616777</c:v>
                      </c:pt>
                      <c:pt idx="18">
                        <c:v>1.0332346342557135</c:v>
                      </c:pt>
                      <c:pt idx="19">
                        <c:v>1.0371642629601041</c:v>
                      </c:pt>
                      <c:pt idx="20">
                        <c:v>1.0357730819933717</c:v>
                      </c:pt>
                      <c:pt idx="21">
                        <c:v>1.0242181094939724</c:v>
                      </c:pt>
                      <c:pt idx="22">
                        <c:v>1.0236197746708855</c:v>
                      </c:pt>
                      <c:pt idx="23">
                        <c:v>1.027824219369567</c:v>
                      </c:pt>
                      <c:pt idx="24">
                        <c:v>1.0328069093621246</c:v>
                      </c:pt>
                      <c:pt idx="25">
                        <c:v>1.037889605175021</c:v>
                      </c:pt>
                      <c:pt idx="26">
                        <c:v>1.0346553169394457</c:v>
                      </c:pt>
                      <c:pt idx="27">
                        <c:v>1.038885163116493</c:v>
                      </c:pt>
                      <c:pt idx="28">
                        <c:v>1.0446538988569134</c:v>
                      </c:pt>
                      <c:pt idx="29">
                        <c:v>1.0468379259672909</c:v>
                      </c:pt>
                      <c:pt idx="30">
                        <c:v>1.0464827052934476</c:v>
                      </c:pt>
                      <c:pt idx="31">
                        <c:v>1.0573825396638081</c:v>
                      </c:pt>
                      <c:pt idx="32">
                        <c:v>1.0525718596822331</c:v>
                      </c:pt>
                      <c:pt idx="33">
                        <c:v>1.0574294423935466</c:v>
                      </c:pt>
                      <c:pt idx="34">
                        <c:v>1.072243304560325</c:v>
                      </c:pt>
                      <c:pt idx="35">
                        <c:v>1.0768075702005853</c:v>
                      </c:pt>
                      <c:pt idx="36">
                        <c:v>1.0734213731239153</c:v>
                      </c:pt>
                      <c:pt idx="37">
                        <c:v>1.0722663058990027</c:v>
                      </c:pt>
                      <c:pt idx="38">
                        <c:v>1.0828138197643098</c:v>
                      </c:pt>
                      <c:pt idx="39">
                        <c:v>1.0847285812034255</c:v>
                      </c:pt>
                      <c:pt idx="40">
                        <c:v>1.07223000378622</c:v>
                      </c:pt>
                      <c:pt idx="41">
                        <c:v>1.0742247198786965</c:v>
                      </c:pt>
                      <c:pt idx="42">
                        <c:v>1.090356558751719</c:v>
                      </c:pt>
                      <c:pt idx="43">
                        <c:v>1.0860329071151937</c:v>
                      </c:pt>
                      <c:pt idx="44">
                        <c:v>1.1007894659469177</c:v>
                      </c:pt>
                      <c:pt idx="45">
                        <c:v>1.1019115812540285</c:v>
                      </c:pt>
                      <c:pt idx="46">
                        <c:v>1.1070873324827502</c:v>
                      </c:pt>
                      <c:pt idx="47">
                        <c:v>1.1111876711224589</c:v>
                      </c:pt>
                      <c:pt idx="48">
                        <c:v>1.1132939937104336</c:v>
                      </c:pt>
                      <c:pt idx="49">
                        <c:v>1.1223236192346391</c:v>
                      </c:pt>
                      <c:pt idx="50">
                        <c:v>1.1210587456189947</c:v>
                      </c:pt>
                      <c:pt idx="51">
                        <c:v>1.1246615553025181</c:v>
                      </c:pt>
                      <c:pt idx="52">
                        <c:v>1.1333503609910094</c:v>
                      </c:pt>
                      <c:pt idx="53">
                        <c:v>1.1405854820750563</c:v>
                      </c:pt>
                      <c:pt idx="54">
                        <c:v>1.138348551885719</c:v>
                      </c:pt>
                      <c:pt idx="55">
                        <c:v>1.1372999908594674</c:v>
                      </c:pt>
                      <c:pt idx="56">
                        <c:v>1.130467493208104</c:v>
                      </c:pt>
                      <c:pt idx="57">
                        <c:v>1.1151244002400933</c:v>
                      </c:pt>
                      <c:pt idx="58">
                        <c:v>1.0937922587094562</c:v>
                      </c:pt>
                      <c:pt idx="59">
                        <c:v>1.108807332586756</c:v>
                      </c:pt>
                      <c:pt idx="60">
                        <c:v>1.1057472544902107</c:v>
                      </c:pt>
                      <c:pt idx="61">
                        <c:v>1.095270944768985</c:v>
                      </c:pt>
                      <c:pt idx="62">
                        <c:v>1.0726809300301272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3C4-4E64-85E3-1FA6CE7AD65C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Services'!$B$23</c15:sqref>
                        </c15:formulaRef>
                      </c:ext>
                    </c:extLst>
                    <c:strCache>
                      <c:ptCount val="1"/>
                      <c:pt idx="0">
                        <c:v>S&amp;P 500</c:v>
                      </c:pt>
                    </c:strCache>
                  </c:strRef>
                </c:tx>
                <c:spPr>
                  <a:ln w="28575" cap="rnd">
                    <a:solidFill>
                      <a:sysClr val="windowText" lastClr="00000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Services'!$C$23:$BM$23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1.0096623605788857</c:v>
                      </c:pt>
                      <c:pt idx="2">
                        <c:v>1.0134022044009008</c:v>
                      </c:pt>
                      <c:pt idx="3">
                        <c:v>1.012200582046116</c:v>
                      </c:pt>
                      <c:pt idx="4">
                        <c:v>1.0129116791108654</c:v>
                      </c:pt>
                      <c:pt idx="5">
                        <c:v>1.0156770565848905</c:v>
                      </c:pt>
                      <c:pt idx="6">
                        <c:v>1.0182778282568905</c:v>
                      </c:pt>
                      <c:pt idx="7">
                        <c:v>1.0162795138203033</c:v>
                      </c:pt>
                      <c:pt idx="8">
                        <c:v>1.0178696058678678</c:v>
                      </c:pt>
                      <c:pt idx="9">
                        <c:v>1.018593871396779</c:v>
                      </c:pt>
                      <c:pt idx="10">
                        <c:v>1.01944652945127</c:v>
                      </c:pt>
                      <c:pt idx="11">
                        <c:v>1.0272916419757963</c:v>
                      </c:pt>
                      <c:pt idx="12">
                        <c:v>1.0278085041941558</c:v>
                      </c:pt>
                      <c:pt idx="13">
                        <c:v>1.0271994627266621</c:v>
                      </c:pt>
                      <c:pt idx="14">
                        <c:v>1.0233411027271888</c:v>
                      </c:pt>
                      <c:pt idx="15">
                        <c:v>1.0217213816352597</c:v>
                      </c:pt>
                      <c:pt idx="16">
                        <c:v>1.0239435599626014</c:v>
                      </c:pt>
                      <c:pt idx="17">
                        <c:v>1.0316306509171835</c:v>
                      </c:pt>
                      <c:pt idx="18">
                        <c:v>1.0338956267530517</c:v>
                      </c:pt>
                      <c:pt idx="19">
                        <c:v>1.0382115908821554</c:v>
                      </c:pt>
                      <c:pt idx="20">
                        <c:v>1.034047064090915</c:v>
                      </c:pt>
                      <c:pt idx="21">
                        <c:v>1.0251221375051027</c:v>
                      </c:pt>
                      <c:pt idx="22">
                        <c:v>1.0183173336493765</c:v>
                      </c:pt>
                      <c:pt idx="23">
                        <c:v>1.0247567126246069</c:v>
                      </c:pt>
                      <c:pt idx="24">
                        <c:v>1.0262941308155231</c:v>
                      </c:pt>
                      <c:pt idx="25">
                        <c:v>1.0356700772988849</c:v>
                      </c:pt>
                      <c:pt idx="26">
                        <c:v>1.0323944218385812</c:v>
                      </c:pt>
                      <c:pt idx="27">
                        <c:v>1.031261933920647</c:v>
                      </c:pt>
                      <c:pt idx="28">
                        <c:v>1.0342610516335482</c:v>
                      </c:pt>
                      <c:pt idx="29">
                        <c:v>1.043130012246672</c:v>
                      </c:pt>
                      <c:pt idx="30">
                        <c:v>1.0432057309156038</c:v>
                      </c:pt>
                      <c:pt idx="31">
                        <c:v>1.0506623737473502</c:v>
                      </c:pt>
                      <c:pt idx="32">
                        <c:v>1.0510146301636845</c:v>
                      </c:pt>
                      <c:pt idx="33">
                        <c:v>1.0505603181500947</c:v>
                      </c:pt>
                      <c:pt idx="34">
                        <c:v>1.0552449992757349</c:v>
                      </c:pt>
                      <c:pt idx="35">
                        <c:v>1.0604630031999371</c:v>
                      </c:pt>
                      <c:pt idx="36">
                        <c:v>1.0613815035752385</c:v>
                      </c:pt>
                      <c:pt idx="37">
                        <c:v>1.0611741002646866</c:v>
                      </c:pt>
                      <c:pt idx="38">
                        <c:v>1.0666159680796432</c:v>
                      </c:pt>
                      <c:pt idx="39">
                        <c:v>1.0666521813560887</c:v>
                      </c:pt>
                      <c:pt idx="40">
                        <c:v>1.0604860480122207</c:v>
                      </c:pt>
                      <c:pt idx="41">
                        <c:v>1.0636102661346611</c:v>
                      </c:pt>
                      <c:pt idx="42">
                        <c:v>1.0725220242563114</c:v>
                      </c:pt>
                      <c:pt idx="43">
                        <c:v>1.064950157363147</c:v>
                      </c:pt>
                      <c:pt idx="44">
                        <c:v>1.0687130459974457</c:v>
                      </c:pt>
                      <c:pt idx="45">
                        <c:v>1.0657172204005849</c:v>
                      </c:pt>
                      <c:pt idx="46">
                        <c:v>1.0709418085568685</c:v>
                      </c:pt>
                      <c:pt idx="47">
                        <c:v>1.0780692397845644</c:v>
                      </c:pt>
                      <c:pt idx="48">
                        <c:v>1.074991111286691</c:v>
                      </c:pt>
                      <c:pt idx="49">
                        <c:v>1.0824905516269641</c:v>
                      </c:pt>
                      <c:pt idx="50">
                        <c:v>1.0808510778387921</c:v>
                      </c:pt>
                      <c:pt idx="51">
                        <c:v>1.082872437087663</c:v>
                      </c:pt>
                      <c:pt idx="52">
                        <c:v>1.0919323404311361</c:v>
                      </c:pt>
                      <c:pt idx="53">
                        <c:v>1.0961495410790245</c:v>
                      </c:pt>
                      <c:pt idx="54">
                        <c:v>1.0932426026152575</c:v>
                      </c:pt>
                      <c:pt idx="55">
                        <c:v>1.0935586457551461</c:v>
                      </c:pt>
                      <c:pt idx="56">
                        <c:v>1.094806357734498</c:v>
                      </c:pt>
                      <c:pt idx="57">
                        <c:v>1.0849069648006957</c:v>
                      </c:pt>
                      <c:pt idx="58">
                        <c:v>1.0678406352467116</c:v>
                      </c:pt>
                      <c:pt idx="59">
                        <c:v>1.0785762256548022</c:v>
                      </c:pt>
                      <c:pt idx="60">
                        <c:v>1.0776412646992986</c:v>
                      </c:pt>
                      <c:pt idx="61">
                        <c:v>1.0810189757568578</c:v>
                      </c:pt>
                      <c:pt idx="62">
                        <c:v>1.0618786130973548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3C4-4E64-85E3-1FA6CE7AD65C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Services'!$B$24</c15:sqref>
                        </c15:formulaRef>
                      </c:ext>
                    </c:extLst>
                    <c:strCache>
                      <c:ptCount val="1"/>
                      <c:pt idx="0">
                        <c:v>FB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Services'!$C$24:$BM$24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1.0102791547091052</c:v>
                      </c:pt>
                      <c:pt idx="2">
                        <c:v>1.016018784242108</c:v>
                      </c:pt>
                      <c:pt idx="3">
                        <c:v>1.0139316462301069</c:v>
                      </c:pt>
                      <c:pt idx="4">
                        <c:v>0.99947821549699978</c:v>
                      </c:pt>
                      <c:pt idx="5">
                        <c:v>0.99358205061309668</c:v>
                      </c:pt>
                      <c:pt idx="6">
                        <c:v>0.99577354552569786</c:v>
                      </c:pt>
                      <c:pt idx="7">
                        <c:v>0.98935559613879465</c:v>
                      </c:pt>
                      <c:pt idx="8">
                        <c:v>1.0147143229846072</c:v>
                      </c:pt>
                      <c:pt idx="9">
                        <c:v>1.0080354813462038</c:v>
                      </c:pt>
                      <c:pt idx="10">
                        <c:v>1.0078267675450037</c:v>
                      </c:pt>
                      <c:pt idx="11">
                        <c:v>1.0180015653535086</c:v>
                      </c:pt>
                      <c:pt idx="12">
                        <c:v>1.0300026089225147</c:v>
                      </c:pt>
                      <c:pt idx="13">
                        <c:v>1.0400208713801198</c:v>
                      </c:pt>
                      <c:pt idx="14">
                        <c:v>1.0305765718758151</c:v>
                      </c:pt>
                      <c:pt idx="15">
                        <c:v>1.0327680667884163</c:v>
                      </c:pt>
                      <c:pt idx="16">
                        <c:v>1.0374119488651186</c:v>
                      </c:pt>
                      <c:pt idx="17">
                        <c:v>1.0424732585442209</c:v>
                      </c:pt>
                      <c:pt idx="18">
                        <c:v>1.0381946256196188</c:v>
                      </c:pt>
                      <c:pt idx="19">
                        <c:v>1.0540046960605267</c:v>
                      </c:pt>
                      <c:pt idx="20">
                        <c:v>1.0521262718497257</c:v>
                      </c:pt>
                      <c:pt idx="21">
                        <c:v>1.0420036524915206</c:v>
                      </c:pt>
                      <c:pt idx="22">
                        <c:v>1.0374119488651183</c:v>
                      </c:pt>
                      <c:pt idx="23">
                        <c:v>1.0368379859118182</c:v>
                      </c:pt>
                      <c:pt idx="24">
                        <c:v>1.0402295851813199</c:v>
                      </c:pt>
                      <c:pt idx="25">
                        <c:v>1.0490477432820242</c:v>
                      </c:pt>
                      <c:pt idx="26">
                        <c:v>1.0505609183407247</c:v>
                      </c:pt>
                      <c:pt idx="27">
                        <c:v>1.0481085311766234</c:v>
                      </c:pt>
                      <c:pt idx="28">
                        <c:v>1.0553613357683269</c:v>
                      </c:pt>
                      <c:pt idx="29">
                        <c:v>1.0266110096530126</c:v>
                      </c:pt>
                      <c:pt idx="30">
                        <c:v>1.0128358987738058</c:v>
                      </c:pt>
                      <c:pt idx="31">
                        <c:v>1.0327158883381156</c:v>
                      </c:pt>
                      <c:pt idx="32">
                        <c:v>1.0351682755022167</c:v>
                      </c:pt>
                      <c:pt idx="33">
                        <c:v>1.0566136185755273</c:v>
                      </c:pt>
                      <c:pt idx="34">
                        <c:v>1.0751891468823365</c:v>
                      </c:pt>
                      <c:pt idx="35">
                        <c:v>1.076441429689537</c:v>
                      </c:pt>
                      <c:pt idx="36">
                        <c:v>1.0758152882859366</c:v>
                      </c:pt>
                      <c:pt idx="37">
                        <c:v>1.070284372554134</c:v>
                      </c:pt>
                      <c:pt idx="38">
                        <c:v>1.0842160187842409</c:v>
                      </c:pt>
                      <c:pt idx="39">
                        <c:v>1.0858335507435417</c:v>
                      </c:pt>
                      <c:pt idx="40">
                        <c:v>1.0665797025828321</c:v>
                      </c:pt>
                      <c:pt idx="41">
                        <c:v>1.0709626924080342</c:v>
                      </c:pt>
                      <c:pt idx="42">
                        <c:v>1.094599530393946</c:v>
                      </c:pt>
                      <c:pt idx="43">
                        <c:v>1.0888077224106432</c:v>
                      </c:pt>
                      <c:pt idx="44">
                        <c:v>1.1093138533785536</c:v>
                      </c:pt>
                      <c:pt idx="45">
                        <c:v>1.1117140620923547</c:v>
                      </c:pt>
                      <c:pt idx="46">
                        <c:v>1.1229846073571601</c:v>
                      </c:pt>
                      <c:pt idx="47">
                        <c:v>1.1390555700495684</c:v>
                      </c:pt>
                      <c:pt idx="48">
                        <c:v>1.1378032872423676</c:v>
                      </c:pt>
                      <c:pt idx="49">
                        <c:v>1.1578919906078777</c:v>
                      </c:pt>
                      <c:pt idx="50">
                        <c:v>1.1430211322723702</c:v>
                      </c:pt>
                      <c:pt idx="51">
                        <c:v>1.1539264283850759</c:v>
                      </c:pt>
                      <c:pt idx="52">
                        <c:v>1.1571614923036775</c:v>
                      </c:pt>
                      <c:pt idx="53">
                        <c:v>1.1590920949647785</c:v>
                      </c:pt>
                      <c:pt idx="54">
                        <c:v>1.1554396034437768</c:v>
                      </c:pt>
                      <c:pt idx="55">
                        <c:v>1.1548134620401764</c:v>
                      </c:pt>
                      <c:pt idx="56">
                        <c:v>1.1466736237933723</c:v>
                      </c:pt>
                      <c:pt idx="57">
                        <c:v>1.1371771458387676</c:v>
                      </c:pt>
                      <c:pt idx="58">
                        <c:v>1.1211583615966596</c:v>
                      </c:pt>
                      <c:pt idx="59">
                        <c:v>1.1363944690842671</c:v>
                      </c:pt>
                      <c:pt idx="60">
                        <c:v>1.1647795460474815</c:v>
                      </c:pt>
                      <c:pt idx="61">
                        <c:v>1.0932950691364458</c:v>
                      </c:pt>
                      <c:pt idx="62">
                        <c:v>1.053535090007826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C4-4E64-85E3-1FA6CE7AD65C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Services'!$B$28</c15:sqref>
                        </c15:formulaRef>
                      </c:ext>
                    </c:extLst>
                    <c:strCache>
                      <c:ptCount val="1"/>
                      <c:pt idx="0">
                        <c:v>DIS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Services'!$C$2:$BM$2</c15:sqref>
                        </c15:formulaRef>
                      </c:ext>
                    </c:extLst>
                    <c:numCache>
                      <c:formatCode>m/d/yy</c:formatCode>
                      <c:ptCount val="63"/>
                      <c:pt idx="0">
                        <c:v>43769</c:v>
                      </c:pt>
                      <c:pt idx="1">
                        <c:v>43770</c:v>
                      </c:pt>
                      <c:pt idx="2">
                        <c:v>43773</c:v>
                      </c:pt>
                      <c:pt idx="3">
                        <c:v>43774</c:v>
                      </c:pt>
                      <c:pt idx="4">
                        <c:v>43775</c:v>
                      </c:pt>
                      <c:pt idx="5">
                        <c:v>43776</c:v>
                      </c:pt>
                      <c:pt idx="6">
                        <c:v>43777</c:v>
                      </c:pt>
                      <c:pt idx="7">
                        <c:v>43780</c:v>
                      </c:pt>
                      <c:pt idx="8">
                        <c:v>43781</c:v>
                      </c:pt>
                      <c:pt idx="9">
                        <c:v>43782</c:v>
                      </c:pt>
                      <c:pt idx="10">
                        <c:v>43783</c:v>
                      </c:pt>
                      <c:pt idx="11">
                        <c:v>43784</c:v>
                      </c:pt>
                      <c:pt idx="12">
                        <c:v>43787</c:v>
                      </c:pt>
                      <c:pt idx="13">
                        <c:v>43788</c:v>
                      </c:pt>
                      <c:pt idx="14">
                        <c:v>43789</c:v>
                      </c:pt>
                      <c:pt idx="15">
                        <c:v>43790</c:v>
                      </c:pt>
                      <c:pt idx="16">
                        <c:v>43791</c:v>
                      </c:pt>
                      <c:pt idx="17">
                        <c:v>43794</c:v>
                      </c:pt>
                      <c:pt idx="18">
                        <c:v>43795</c:v>
                      </c:pt>
                      <c:pt idx="19">
                        <c:v>43796</c:v>
                      </c:pt>
                      <c:pt idx="20">
                        <c:v>43798</c:v>
                      </c:pt>
                      <c:pt idx="21">
                        <c:v>43801</c:v>
                      </c:pt>
                      <c:pt idx="22">
                        <c:v>43802</c:v>
                      </c:pt>
                      <c:pt idx="23">
                        <c:v>43803</c:v>
                      </c:pt>
                      <c:pt idx="24">
                        <c:v>43804</c:v>
                      </c:pt>
                      <c:pt idx="25">
                        <c:v>43805</c:v>
                      </c:pt>
                      <c:pt idx="26">
                        <c:v>43808</c:v>
                      </c:pt>
                      <c:pt idx="27">
                        <c:v>43809</c:v>
                      </c:pt>
                      <c:pt idx="28">
                        <c:v>43810</c:v>
                      </c:pt>
                      <c:pt idx="29">
                        <c:v>43811</c:v>
                      </c:pt>
                      <c:pt idx="30">
                        <c:v>43812</c:v>
                      </c:pt>
                      <c:pt idx="31">
                        <c:v>43815</c:v>
                      </c:pt>
                      <c:pt idx="32">
                        <c:v>43816</c:v>
                      </c:pt>
                      <c:pt idx="33">
                        <c:v>43817</c:v>
                      </c:pt>
                      <c:pt idx="34">
                        <c:v>43818</c:v>
                      </c:pt>
                      <c:pt idx="35">
                        <c:v>43819</c:v>
                      </c:pt>
                      <c:pt idx="36">
                        <c:v>43822</c:v>
                      </c:pt>
                      <c:pt idx="37">
                        <c:v>43823</c:v>
                      </c:pt>
                      <c:pt idx="38">
                        <c:v>43825</c:v>
                      </c:pt>
                      <c:pt idx="39">
                        <c:v>43826</c:v>
                      </c:pt>
                      <c:pt idx="40">
                        <c:v>43829</c:v>
                      </c:pt>
                      <c:pt idx="41">
                        <c:v>43830</c:v>
                      </c:pt>
                      <c:pt idx="42">
                        <c:v>43832</c:v>
                      </c:pt>
                      <c:pt idx="43">
                        <c:v>43833</c:v>
                      </c:pt>
                      <c:pt idx="44">
                        <c:v>43836</c:v>
                      </c:pt>
                      <c:pt idx="45">
                        <c:v>43837</c:v>
                      </c:pt>
                      <c:pt idx="46">
                        <c:v>43838</c:v>
                      </c:pt>
                      <c:pt idx="47">
                        <c:v>43839</c:v>
                      </c:pt>
                      <c:pt idx="48">
                        <c:v>43840</c:v>
                      </c:pt>
                      <c:pt idx="49">
                        <c:v>43843</c:v>
                      </c:pt>
                      <c:pt idx="50">
                        <c:v>43844</c:v>
                      </c:pt>
                      <c:pt idx="51">
                        <c:v>43845</c:v>
                      </c:pt>
                      <c:pt idx="52">
                        <c:v>43846</c:v>
                      </c:pt>
                      <c:pt idx="53">
                        <c:v>43847</c:v>
                      </c:pt>
                      <c:pt idx="54">
                        <c:v>43851</c:v>
                      </c:pt>
                      <c:pt idx="55">
                        <c:v>43852</c:v>
                      </c:pt>
                      <c:pt idx="56">
                        <c:v>43853</c:v>
                      </c:pt>
                      <c:pt idx="57">
                        <c:v>43854</c:v>
                      </c:pt>
                      <c:pt idx="58">
                        <c:v>43857</c:v>
                      </c:pt>
                      <c:pt idx="59">
                        <c:v>43858</c:v>
                      </c:pt>
                      <c:pt idx="60">
                        <c:v>43859</c:v>
                      </c:pt>
                      <c:pt idx="61">
                        <c:v>43860</c:v>
                      </c:pt>
                      <c:pt idx="62">
                        <c:v>43861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'Communication Services'!$C$28:$BM$28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1</c:v>
                      </c:pt>
                      <c:pt idx="1">
                        <c:v>1.0217826354679804</c:v>
                      </c:pt>
                      <c:pt idx="2">
                        <c:v>1.0230911330049262</c:v>
                      </c:pt>
                      <c:pt idx="3">
                        <c:v>1.0117764778325125</c:v>
                      </c:pt>
                      <c:pt idx="4">
                        <c:v>1.0103910098522171</c:v>
                      </c:pt>
                      <c:pt idx="5">
                        <c:v>1.0233990147783254</c:v>
                      </c:pt>
                      <c:pt idx="6">
                        <c:v>1.0618842364532022</c:v>
                      </c:pt>
                      <c:pt idx="7">
                        <c:v>1.0524938423645323</c:v>
                      </c:pt>
                      <c:pt idx="8">
                        <c:v>1.066656403940887</c:v>
                      </c:pt>
                      <c:pt idx="9">
                        <c:v>1.1447044334975371</c:v>
                      </c:pt>
                      <c:pt idx="10">
                        <c:v>1.1326200738916259</c:v>
                      </c:pt>
                      <c:pt idx="11">
                        <c:v>1.1135314039408868</c:v>
                      </c:pt>
                      <c:pt idx="12">
                        <c:v>1.1364685960591134</c:v>
                      </c:pt>
                      <c:pt idx="13">
                        <c:v>1.1420874384236452</c:v>
                      </c:pt>
                      <c:pt idx="14">
                        <c:v>1.130926724137931</c:v>
                      </c:pt>
                      <c:pt idx="15">
                        <c:v>1.1306958128078819</c:v>
                      </c:pt>
                      <c:pt idx="16">
                        <c:v>1.1413947044334976</c:v>
                      </c:pt>
                      <c:pt idx="17">
                        <c:v>1.1521705665024631</c:v>
                      </c:pt>
                      <c:pt idx="18">
                        <c:v>1.167179802955665</c:v>
                      </c:pt>
                      <c:pt idx="19">
                        <c:v>1.165948275862069</c:v>
                      </c:pt>
                      <c:pt idx="20">
                        <c:v>1.1667179802955665</c:v>
                      </c:pt>
                      <c:pt idx="21">
                        <c:v>1.15932881773399</c:v>
                      </c:pt>
                      <c:pt idx="22">
                        <c:v>1.1436268472906403</c:v>
                      </c:pt>
                      <c:pt idx="23">
                        <c:v>1.1413177339901477</c:v>
                      </c:pt>
                      <c:pt idx="24">
                        <c:v>1.1348522167487685</c:v>
                      </c:pt>
                      <c:pt idx="25">
                        <c:v>1.1365455665024631</c:v>
                      </c:pt>
                      <c:pt idx="26">
                        <c:v>1.1253848522167489</c:v>
                      </c:pt>
                      <c:pt idx="27">
                        <c:v>1.1245381773399015</c:v>
                      </c:pt>
                      <c:pt idx="28">
                        <c:v>1.1360067733990149</c:v>
                      </c:pt>
                      <c:pt idx="29">
                        <c:v>1.1373152709359606</c:v>
                      </c:pt>
                      <c:pt idx="30">
                        <c:v>1.1266933497536946</c:v>
                      </c:pt>
                      <c:pt idx="31">
                        <c:v>1.1427032019704435</c:v>
                      </c:pt>
                      <c:pt idx="32">
                        <c:v>1.1370843596059115</c:v>
                      </c:pt>
                      <c:pt idx="33">
                        <c:v>1.1257697044334976</c:v>
                      </c:pt>
                      <c:pt idx="34">
                        <c:v>1.1249230295566504</c:v>
                      </c:pt>
                      <c:pt idx="35">
                        <c:v>1.1305418719211824</c:v>
                      </c:pt>
                      <c:pt idx="36">
                        <c:v>1.1136083743842367</c:v>
                      </c:pt>
                      <c:pt idx="37">
                        <c:v>1.1183035714285716</c:v>
                      </c:pt>
                      <c:pt idx="38">
                        <c:v>1.1214593596059115</c:v>
                      </c:pt>
                      <c:pt idx="39">
                        <c:v>1.1218442118226601</c:v>
                      </c:pt>
                      <c:pt idx="40">
                        <c:v>1.106604064039409</c:v>
                      </c:pt>
                      <c:pt idx="41">
                        <c:v>1.1132235221674878</c:v>
                      </c:pt>
                      <c:pt idx="42">
                        <c:v>1.1407019704433499</c:v>
                      </c:pt>
                      <c:pt idx="43">
                        <c:v>1.1276169950738919</c:v>
                      </c:pt>
                      <c:pt idx="44">
                        <c:v>1.1210745073891628</c:v>
                      </c:pt>
                      <c:pt idx="45">
                        <c:v>1.1214593596059115</c:v>
                      </c:pt>
                      <c:pt idx="46">
                        <c:v>1.119150246305419</c:v>
                      </c:pt>
                      <c:pt idx="47">
                        <c:v>1.1147629310344831</c:v>
                      </c:pt>
                      <c:pt idx="48">
                        <c:v>1.1131465517241381</c:v>
                      </c:pt>
                      <c:pt idx="49">
                        <c:v>1.1074507389162562</c:v>
                      </c:pt>
                      <c:pt idx="50">
                        <c:v>1.1176108374384237</c:v>
                      </c:pt>
                      <c:pt idx="51">
                        <c:v>1.1108374384236455</c:v>
                      </c:pt>
                      <c:pt idx="52">
                        <c:v>1.1169950738916259</c:v>
                      </c:pt>
                      <c:pt idx="53">
                        <c:v>1.1109144088669956</c:v>
                      </c:pt>
                      <c:pt idx="54">
                        <c:v>1.1049876847290645</c:v>
                      </c:pt>
                      <c:pt idx="55">
                        <c:v>1.1084513546798034</c:v>
                      </c:pt>
                      <c:pt idx="56">
                        <c:v>1.094519704433498</c:v>
                      </c:pt>
                      <c:pt idx="57">
                        <c:v>1.0782019704433503</c:v>
                      </c:pt>
                      <c:pt idx="58">
                        <c:v>1.0460283251231532</c:v>
                      </c:pt>
                      <c:pt idx="59">
                        <c:v>1.0650400246305425</c:v>
                      </c:pt>
                      <c:pt idx="60">
                        <c:v>1.0472598522167493</c:v>
                      </c:pt>
                      <c:pt idx="61">
                        <c:v>1.0607296798029564</c:v>
                      </c:pt>
                      <c:pt idx="62">
                        <c:v>1.0645782019704442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3C4-4E64-85E3-1FA6CE7AD65C}"/>
                  </c:ext>
                </c:extLst>
              </c15:ser>
            </c15:filteredLineSeries>
          </c:ext>
        </c:extLst>
      </c:lineChart>
      <c:dateAx>
        <c:axId val="1010959344"/>
        <c:scaling>
          <c:orientation val="minMax"/>
        </c:scaling>
        <c:delete val="0"/>
        <c:axPos val="b"/>
        <c:numFmt formatCode="m/d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43928"/>
        <c:crosses val="autoZero"/>
        <c:auto val="1"/>
        <c:lblOffset val="100"/>
        <c:baseTimeUnit val="days"/>
        <c:majorUnit val="13"/>
        <c:majorTimeUnit val="days"/>
      </c:dateAx>
      <c:valAx>
        <c:axId val="1010943928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50800</xdr:rowOff>
        </xdr:from>
        <xdr:to>
          <xdr:col>14</xdr:col>
          <xdr:colOff>63500</xdr:colOff>
          <xdr:row>18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Post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23</xdr:row>
          <xdr:rowOff>152400</xdr:rowOff>
        </xdr:from>
        <xdr:to>
          <xdr:col>13</xdr:col>
          <xdr:colOff>736600</xdr:colOff>
          <xdr:row>29</xdr:row>
          <xdr:rowOff>12700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228600</xdr:colOff>
      <xdr:row>1</xdr:row>
      <xdr:rowOff>127000</xdr:rowOff>
    </xdr:from>
    <xdr:to>
      <xdr:col>18</xdr:col>
      <xdr:colOff>673100</xdr:colOff>
      <xdr:row>8</xdr:row>
      <xdr:rowOff>139700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3220700" y="431800"/>
          <a:ext cx="29210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(1) Get</a:t>
          </a:r>
          <a:r>
            <a:rPr lang="en-GB" sz="1400" baseline="0"/>
            <a:t> Data: </a:t>
          </a:r>
        </a:p>
        <a:p>
          <a:r>
            <a:rPr lang="en-GB" sz="1400" baseline="0"/>
            <a:t>- Grabs data from Yahoo Finance for all the stocks in the portfolio</a:t>
          </a:r>
        </a:p>
        <a:p>
          <a:endParaRPr lang="en-GB" sz="1400" baseline="0"/>
        </a:p>
        <a:p>
          <a:r>
            <a:rPr lang="en-GB" sz="1400" baseline="0"/>
            <a:t>Please note this process take around 3 mins 40 secs </a:t>
          </a:r>
          <a:endParaRPr lang="en-GB" sz="1400"/>
        </a:p>
      </xdr:txBody>
    </xdr:sp>
    <xdr:clientData/>
  </xdr:twoCellAnchor>
  <xdr:twoCellAnchor>
    <xdr:from>
      <xdr:col>15</xdr:col>
      <xdr:colOff>139700</xdr:colOff>
      <xdr:row>12</xdr:row>
      <xdr:rowOff>0</xdr:rowOff>
    </xdr:from>
    <xdr:to>
      <xdr:col>18</xdr:col>
      <xdr:colOff>584200</xdr:colOff>
      <xdr:row>19</xdr:row>
      <xdr:rowOff>254000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3131800" y="2730500"/>
          <a:ext cx="2921000" cy="184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(2)</a:t>
          </a:r>
          <a:r>
            <a:rPr lang="en-GB" sz="1400" baseline="0"/>
            <a:t> </a:t>
          </a:r>
          <a:r>
            <a:rPr lang="en-GB" sz="1400"/>
            <a:t>Post Data:</a:t>
          </a:r>
          <a:br>
            <a:rPr lang="en-GB" sz="1400"/>
          </a:br>
          <a:r>
            <a:rPr lang="en-GB" sz="1400"/>
            <a:t>-</a:t>
          </a:r>
          <a:r>
            <a:rPr lang="en-GB" sz="1400" baseline="0"/>
            <a:t>  Posts and orders the latest 1 day data to the prices page </a:t>
          </a:r>
          <a:endParaRPr lang="en-GB" sz="1400"/>
        </a:p>
      </xdr:txBody>
    </xdr:sp>
    <xdr:clientData/>
  </xdr:twoCellAnchor>
  <xdr:twoCellAnchor>
    <xdr:from>
      <xdr:col>15</xdr:col>
      <xdr:colOff>101600</xdr:colOff>
      <xdr:row>22</xdr:row>
      <xdr:rowOff>101600</xdr:rowOff>
    </xdr:from>
    <xdr:to>
      <xdr:col>18</xdr:col>
      <xdr:colOff>546100</xdr:colOff>
      <xdr:row>30</xdr:row>
      <xdr:rowOff>177800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3093700" y="5168900"/>
          <a:ext cx="29210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(3)</a:t>
          </a:r>
          <a:r>
            <a:rPr lang="en-GB" sz="1400" baseline="0"/>
            <a:t> </a:t>
          </a:r>
          <a:r>
            <a:rPr lang="en-GB" sz="1400"/>
            <a:t>Clear</a:t>
          </a:r>
          <a:r>
            <a:rPr lang="en-GB" sz="1400" baseline="0"/>
            <a:t> Data:</a:t>
          </a:r>
        </a:p>
        <a:p>
          <a:r>
            <a:rPr lang="en-GB" sz="1400" baseline="0"/>
            <a:t>- Clear the data for every use </a:t>
          </a:r>
          <a:endParaRPr lang="en-GB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0</xdr:rowOff>
        </xdr:from>
        <xdr:to>
          <xdr:col>14</xdr:col>
          <xdr:colOff>63500</xdr:colOff>
          <xdr:row>8</xdr:row>
          <xdr:rowOff>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127000</xdr:colOff>
      <xdr:row>4</xdr:row>
      <xdr:rowOff>177800</xdr:rowOff>
    </xdr:from>
    <xdr:to>
      <xdr:col>15</xdr:col>
      <xdr:colOff>101600</xdr:colOff>
      <xdr:row>6</xdr:row>
      <xdr:rowOff>152400</xdr:rowOff>
    </xdr:to>
    <xdr:sp macro="" textlink="">
      <xdr:nvSpPr>
        <xdr:cNvPr id="5" name="Lef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293600" y="1130300"/>
          <a:ext cx="800100" cy="4572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101600</xdr:colOff>
      <xdr:row>14</xdr:row>
      <xdr:rowOff>165100</xdr:rowOff>
    </xdr:from>
    <xdr:to>
      <xdr:col>15</xdr:col>
      <xdr:colOff>76200</xdr:colOff>
      <xdr:row>16</xdr:row>
      <xdr:rowOff>139700</xdr:rowOff>
    </xdr:to>
    <xdr:sp macro="" textlink="">
      <xdr:nvSpPr>
        <xdr:cNvPr id="27" name="Left Arr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268200" y="3530600"/>
          <a:ext cx="800100" cy="4572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812800</xdr:colOff>
      <xdr:row>25</xdr:row>
      <xdr:rowOff>76200</xdr:rowOff>
    </xdr:from>
    <xdr:to>
      <xdr:col>14</xdr:col>
      <xdr:colOff>787400</xdr:colOff>
      <xdr:row>27</xdr:row>
      <xdr:rowOff>152400</xdr:rowOff>
    </xdr:to>
    <xdr:sp macro="" textlink="">
      <xdr:nvSpPr>
        <xdr:cNvPr id="28" name="Left Arr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153900" y="5867400"/>
          <a:ext cx="800100" cy="4572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283464</xdr:colOff>
      <xdr:row>33</xdr:row>
      <xdr:rowOff>84929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85714" cy="63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438148</xdr:colOff>
      <xdr:row>92</xdr:row>
      <xdr:rowOff>38098</xdr:rowOff>
    </xdr:from>
    <xdr:to>
      <xdr:col>13</xdr:col>
      <xdr:colOff>428624</xdr:colOff>
      <xdr:row>112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0</xdr:row>
      <xdr:rowOff>0</xdr:rowOff>
    </xdr:from>
    <xdr:to>
      <xdr:col>17</xdr:col>
      <xdr:colOff>314325</xdr:colOff>
      <xdr:row>16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11</xdr:col>
      <xdr:colOff>484948</xdr:colOff>
      <xdr:row>15</xdr:row>
      <xdr:rowOff>56857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571500"/>
          <a:ext cx="6619048" cy="23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11</xdr:col>
      <xdr:colOff>513519</xdr:colOff>
      <xdr:row>33</xdr:row>
      <xdr:rowOff>56786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429000"/>
          <a:ext cx="6647619" cy="291428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18</xdr:row>
      <xdr:rowOff>0</xdr:rowOff>
    </xdr:from>
    <xdr:to>
      <xdr:col>22</xdr:col>
      <xdr:colOff>523048</xdr:colOff>
      <xdr:row>33</xdr:row>
      <xdr:rowOff>56786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53300" y="3429000"/>
          <a:ext cx="6619048" cy="2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22</xdr:col>
      <xdr:colOff>360300</xdr:colOff>
      <xdr:row>51</xdr:row>
      <xdr:rowOff>56762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6667500"/>
          <a:ext cx="13200000" cy="31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22</xdr:col>
      <xdr:colOff>341252</xdr:colOff>
      <xdr:row>79</xdr:row>
      <xdr:rowOff>180333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0096500"/>
          <a:ext cx="13180952" cy="51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22</xdr:col>
      <xdr:colOff>265062</xdr:colOff>
      <xdr:row>95</xdr:row>
      <xdr:rowOff>180619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15430500"/>
          <a:ext cx="13104762" cy="28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98</xdr:row>
      <xdr:rowOff>0</xdr:rowOff>
    </xdr:from>
    <xdr:to>
      <xdr:col>15</xdr:col>
      <xdr:colOff>408452</xdr:colOff>
      <xdr:row>107</xdr:row>
      <xdr:rowOff>123595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8669000"/>
          <a:ext cx="8980952" cy="18380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32</xdr:row>
      <xdr:rowOff>12246</xdr:rowOff>
    </xdr:from>
    <xdr:to>
      <xdr:col>8</xdr:col>
      <xdr:colOff>276225</xdr:colOff>
      <xdr:row>53</xdr:row>
      <xdr:rowOff>59872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297996</xdr:colOff>
      <xdr:row>76</xdr:row>
      <xdr:rowOff>47626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593911</xdr:colOff>
      <xdr:row>78</xdr:row>
      <xdr:rowOff>100853</xdr:rowOff>
    </xdr:from>
    <xdr:to>
      <xdr:col>9</xdr:col>
      <xdr:colOff>241966</xdr:colOff>
      <xdr:row>99</xdr:row>
      <xdr:rowOff>148479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2D9F-F5DE-1447-B11A-70B7A0E5979B}">
  <sheetPr codeName="Main_Page"/>
  <dimension ref="A1:A22"/>
  <sheetViews>
    <sheetView tabSelected="1" workbookViewId="0">
      <selection activeCell="T12" sqref="T12"/>
    </sheetView>
  </sheetViews>
  <sheetFormatPr baseColWidth="10" defaultRowHeight="15"/>
  <cols>
    <col min="1" max="2" width="14.83203125" bestFit="1" customWidth="1"/>
  </cols>
  <sheetData>
    <row r="1" spans="1:1" ht="24">
      <c r="A1" s="29" t="s">
        <v>190</v>
      </c>
    </row>
    <row r="4" spans="1:1" ht="21">
      <c r="A4" s="32" t="s">
        <v>191</v>
      </c>
    </row>
    <row r="5" spans="1:1" ht="19">
      <c r="A5" s="31" t="s">
        <v>192</v>
      </c>
    </row>
    <row r="6" spans="1:1" ht="19">
      <c r="A6" s="31"/>
    </row>
    <row r="7" spans="1:1" ht="21">
      <c r="A7" s="32" t="s">
        <v>202</v>
      </c>
    </row>
    <row r="8" spans="1:1" ht="19">
      <c r="A8" s="30" t="s">
        <v>203</v>
      </c>
    </row>
    <row r="9" spans="1:1" ht="19">
      <c r="A9" s="30" t="s">
        <v>204</v>
      </c>
    </row>
    <row r="10" spans="1:1" ht="19">
      <c r="A10" s="30" t="s">
        <v>205</v>
      </c>
    </row>
    <row r="12" spans="1:1" ht="21">
      <c r="A12" s="32" t="s">
        <v>193</v>
      </c>
    </row>
    <row r="13" spans="1:1" ht="19">
      <c r="A13" s="30" t="s">
        <v>201</v>
      </c>
    </row>
    <row r="14" spans="1:1" ht="19">
      <c r="A14" s="30" t="s">
        <v>195</v>
      </c>
    </row>
    <row r="15" spans="1:1" ht="19">
      <c r="A15" s="30" t="s">
        <v>196</v>
      </c>
    </row>
    <row r="16" spans="1:1" ht="19">
      <c r="A16" s="30" t="s">
        <v>197</v>
      </c>
    </row>
    <row r="17" spans="1:1" ht="19">
      <c r="A17" s="30" t="s">
        <v>198</v>
      </c>
    </row>
    <row r="20" spans="1:1" ht="21">
      <c r="A20" s="32" t="s">
        <v>194</v>
      </c>
    </row>
    <row r="21" spans="1:1" ht="19">
      <c r="A21" s="30" t="s">
        <v>199</v>
      </c>
    </row>
    <row r="22" spans="1:1" ht="19">
      <c r="A22" s="30" t="s"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3" name="Button 11">
              <controlPr defaultSize="0" print="0" autoFill="0" autoPict="0" macro="[0]!FindAll">
                <anchor moveWithCells="1" sizeWithCells="1">
                  <from>
                    <xdr:col>11</xdr:col>
                    <xdr:colOff>50800</xdr:colOff>
                    <xdr:row>13</xdr:row>
                    <xdr:rowOff>50800</xdr:rowOff>
                  </from>
                  <to>
                    <xdr:col>14</xdr:col>
                    <xdr:colOff>63500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Delete_content">
                <anchor moveWithCells="1" sizeWithCells="1">
                  <from>
                    <xdr:col>10</xdr:col>
                    <xdr:colOff>800100</xdr:colOff>
                    <xdr:row>23</xdr:row>
                    <xdr:rowOff>152400</xdr:rowOff>
                  </from>
                  <to>
                    <xdr:col>13</xdr:col>
                    <xdr:colOff>736600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Symbols">
                <anchor moveWithCells="1" sizeWithCells="1">
                  <from>
                    <xdr:col>11</xdr:col>
                    <xdr:colOff>63500</xdr:colOff>
                    <xdr:row>3</xdr:row>
                    <xdr:rowOff>0</xdr:rowOff>
                  </from>
                  <to>
                    <xdr:col>14</xdr:col>
                    <xdr:colOff>63500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tistics"/>
  <dimension ref="E2:K38"/>
  <sheetViews>
    <sheetView showGridLines="0" zoomScale="70" zoomScaleNormal="70" workbookViewId="0">
      <selection activeCell="C37" sqref="C37"/>
    </sheetView>
  </sheetViews>
  <sheetFormatPr baseColWidth="10" defaultColWidth="8.83203125" defaultRowHeight="15"/>
  <cols>
    <col min="5" max="5" width="11.1640625" bestFit="1" customWidth="1"/>
    <col min="11" max="11" width="10.6640625" bestFit="1" customWidth="1"/>
  </cols>
  <sheetData>
    <row r="2" spans="11:11">
      <c r="K2" s="1"/>
    </row>
    <row r="3" spans="11:11">
      <c r="K3" s="1"/>
    </row>
    <row r="37" spans="5:6">
      <c r="E37" s="1">
        <f ca="1">TODAY()</f>
        <v>44031</v>
      </c>
    </row>
    <row r="38" spans="5:6">
      <c r="E38" s="1">
        <v>43769</v>
      </c>
      <c r="F38">
        <f ca="1">E37-E38</f>
        <v>262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"/>
  <dimension ref="A2:DT88"/>
  <sheetViews>
    <sheetView showGridLines="0" workbookViewId="0">
      <pane xSplit="2" ySplit="3" topLeftCell="CE42" activePane="bottomRight" state="frozen"/>
      <selection pane="topRight" activeCell="C1" sqref="C1"/>
      <selection pane="bottomLeft" activeCell="A4" sqref="A4"/>
      <selection pane="bottomRight" activeCell="CE42" sqref="CE42"/>
    </sheetView>
  </sheetViews>
  <sheetFormatPr baseColWidth="10" defaultColWidth="8.83203125" defaultRowHeight="15"/>
  <cols>
    <col min="1" max="1" width="16.83203125" bestFit="1" customWidth="1"/>
    <col min="3" max="9" width="12.6640625" bestFit="1" customWidth="1"/>
    <col min="10" max="10" width="10.6640625" customWidth="1"/>
    <col min="11" max="44" width="12.6640625" bestFit="1" customWidth="1"/>
    <col min="45" max="50" width="11.6640625" customWidth="1"/>
    <col min="51" max="65" width="12.6640625" bestFit="1" customWidth="1"/>
    <col min="66" max="78" width="12.6640625" customWidth="1"/>
    <col min="79" max="82" width="11.6640625" bestFit="1" customWidth="1"/>
    <col min="83" max="84" width="10.1640625" bestFit="1" customWidth="1"/>
    <col min="85" max="89" width="11.6640625" bestFit="1" customWidth="1"/>
    <col min="90" max="106" width="10.1640625" bestFit="1" customWidth="1"/>
    <col min="107" max="108" width="12.6640625" customWidth="1"/>
    <col min="109" max="109" width="12" bestFit="1" customWidth="1"/>
    <col min="110" max="114" width="12.6640625" customWidth="1"/>
  </cols>
  <sheetData>
    <row r="2" spans="1:124">
      <c r="C2" s="1">
        <v>43769</v>
      </c>
      <c r="D2" s="1">
        <v>43770</v>
      </c>
      <c r="E2" s="1">
        <v>43773</v>
      </c>
      <c r="F2" s="1">
        <v>43774</v>
      </c>
      <c r="G2" s="1">
        <v>43775</v>
      </c>
      <c r="H2" s="1">
        <v>43776</v>
      </c>
      <c r="I2" s="1">
        <v>43777</v>
      </c>
      <c r="J2" s="1">
        <v>43780</v>
      </c>
      <c r="K2" s="1">
        <v>43781</v>
      </c>
      <c r="L2" s="1">
        <v>43782</v>
      </c>
      <c r="M2" s="1">
        <v>43783</v>
      </c>
      <c r="N2" s="1">
        <v>43784</v>
      </c>
      <c r="O2" s="1">
        <v>43787</v>
      </c>
      <c r="P2" s="1">
        <v>43788</v>
      </c>
      <c r="Q2" s="1">
        <v>43789</v>
      </c>
      <c r="R2" s="1">
        <v>43790</v>
      </c>
      <c r="S2" s="1">
        <v>43791</v>
      </c>
      <c r="T2" s="1">
        <v>43794</v>
      </c>
      <c r="U2" s="1">
        <v>43795</v>
      </c>
      <c r="V2" s="1">
        <v>43796</v>
      </c>
      <c r="W2" s="1">
        <v>43798</v>
      </c>
      <c r="X2" s="1">
        <v>43801</v>
      </c>
      <c r="Y2" s="1">
        <v>43802</v>
      </c>
      <c r="Z2" s="1">
        <v>43803</v>
      </c>
      <c r="AA2" s="1">
        <v>43804</v>
      </c>
      <c r="AB2" s="1">
        <v>43805</v>
      </c>
      <c r="AC2" s="1">
        <v>43808</v>
      </c>
      <c r="AD2" s="1">
        <v>43809</v>
      </c>
      <c r="AE2" s="1">
        <v>43810</v>
      </c>
      <c r="AF2" s="1">
        <v>43811</v>
      </c>
      <c r="AG2" s="1">
        <v>43812</v>
      </c>
      <c r="AH2" s="1">
        <v>43815</v>
      </c>
      <c r="AI2" s="1">
        <v>43816</v>
      </c>
      <c r="AJ2" s="1">
        <v>43817</v>
      </c>
      <c r="AK2" s="1">
        <v>43818</v>
      </c>
      <c r="AL2" s="1">
        <v>43819</v>
      </c>
      <c r="AM2" s="1">
        <v>43822</v>
      </c>
      <c r="AN2" s="1">
        <v>43823</v>
      </c>
      <c r="AO2" s="1">
        <v>43825</v>
      </c>
      <c r="AP2" s="1">
        <v>43826</v>
      </c>
      <c r="AQ2" s="1">
        <v>43829</v>
      </c>
      <c r="AR2" s="1">
        <v>43830</v>
      </c>
      <c r="AS2" s="1">
        <v>43832</v>
      </c>
      <c r="AT2" s="1">
        <v>43833</v>
      </c>
      <c r="AU2" s="1">
        <v>43836</v>
      </c>
      <c r="AV2" s="1">
        <v>43837</v>
      </c>
      <c r="AW2" s="1">
        <v>43838</v>
      </c>
      <c r="AX2" s="1">
        <v>43839</v>
      </c>
      <c r="AY2" s="1">
        <v>43840</v>
      </c>
      <c r="AZ2" s="1">
        <v>43843</v>
      </c>
      <c r="BA2" s="1">
        <v>43844</v>
      </c>
      <c r="BB2" s="1">
        <v>43845</v>
      </c>
      <c r="BC2" s="1">
        <v>43846</v>
      </c>
      <c r="BD2" s="1">
        <v>43847</v>
      </c>
      <c r="BE2" s="1">
        <v>43851</v>
      </c>
      <c r="BF2" s="1">
        <v>43852</v>
      </c>
      <c r="BG2" s="1">
        <v>43853</v>
      </c>
      <c r="BH2" s="1">
        <v>43854</v>
      </c>
      <c r="BI2" s="1">
        <v>43857</v>
      </c>
      <c r="BJ2" s="1">
        <v>43858</v>
      </c>
      <c r="BK2" s="1">
        <f>BJ2+1</f>
        <v>43859</v>
      </c>
      <c r="BL2" s="1">
        <f>BK2+1</f>
        <v>43860</v>
      </c>
      <c r="BM2" s="1">
        <f>BL2+1</f>
        <v>43861</v>
      </c>
      <c r="BN2" s="1">
        <f>Prices!BN2</f>
        <v>43864</v>
      </c>
      <c r="BO2" s="1">
        <f>Prices!BO2</f>
        <v>43865</v>
      </c>
      <c r="BP2" s="1">
        <f>Prices!BP2</f>
        <v>43866</v>
      </c>
      <c r="BQ2" s="1">
        <f>Prices!BQ2</f>
        <v>43867</v>
      </c>
      <c r="BR2" s="1">
        <f>Prices!BR2</f>
        <v>43868</v>
      </c>
      <c r="BS2" s="1">
        <f>Prices!BS2</f>
        <v>43871</v>
      </c>
      <c r="BT2" s="1">
        <f>Prices!BT2</f>
        <v>43872</v>
      </c>
      <c r="BU2" s="1">
        <f>Prices!BU2</f>
        <v>43873</v>
      </c>
      <c r="BV2" s="1">
        <f>Prices!BV2</f>
        <v>43874</v>
      </c>
      <c r="BW2" s="1">
        <f>Prices!BW2</f>
        <v>43875</v>
      </c>
      <c r="BX2" s="1">
        <f>Prices!BX2</f>
        <v>43879</v>
      </c>
      <c r="BY2" s="1">
        <f>Prices!BY2</f>
        <v>43880</v>
      </c>
      <c r="BZ2" s="1">
        <f>Prices!BZ2</f>
        <v>43881</v>
      </c>
      <c r="CA2" s="1">
        <f>Prices!CA2</f>
        <v>43882</v>
      </c>
      <c r="CB2" s="1">
        <f>Prices!CB2</f>
        <v>43885</v>
      </c>
      <c r="CC2" s="1">
        <f>Prices!CC2</f>
        <v>43886</v>
      </c>
      <c r="CD2" s="1">
        <f>Prices!CD2</f>
        <v>43887</v>
      </c>
      <c r="CE2" s="1">
        <f>Prices!CE2</f>
        <v>43888</v>
      </c>
      <c r="CF2" s="1">
        <f>Prices!CF2</f>
        <v>43889</v>
      </c>
      <c r="CG2" s="1">
        <f>Prices!CG2</f>
        <v>43892</v>
      </c>
      <c r="CH2" s="1">
        <f>Prices!CH2</f>
        <v>43893</v>
      </c>
      <c r="CI2" s="1">
        <f>Prices!CI2</f>
        <v>43894</v>
      </c>
      <c r="CJ2" s="1">
        <f>Prices!CJ2</f>
        <v>43895</v>
      </c>
      <c r="CK2" s="1">
        <f>Prices!CK2</f>
        <v>43896</v>
      </c>
      <c r="CL2" s="1">
        <f>Prices!CL2</f>
        <v>43899</v>
      </c>
      <c r="CM2" s="1">
        <f>Prices!CM2</f>
        <v>43900</v>
      </c>
      <c r="CN2" s="1">
        <f>Prices!CN2</f>
        <v>43901</v>
      </c>
      <c r="CO2" s="1">
        <f>Prices!CO2</f>
        <v>43902</v>
      </c>
      <c r="CP2" s="1">
        <f>Prices!CP2</f>
        <v>43903</v>
      </c>
      <c r="CQ2" s="1">
        <f>Prices!CQ2</f>
        <v>43906</v>
      </c>
      <c r="CR2" s="1">
        <f>Prices!CR2</f>
        <v>43907</v>
      </c>
      <c r="CS2" s="1">
        <f>Prices!CS2</f>
        <v>43908</v>
      </c>
      <c r="CT2" s="1">
        <f>Prices!CT2</f>
        <v>43909</v>
      </c>
      <c r="CU2" s="1">
        <f>Prices!CU2</f>
        <v>43910</v>
      </c>
      <c r="CV2" s="1">
        <f>Prices!CV2</f>
        <v>43913</v>
      </c>
      <c r="CW2" s="1">
        <f>Prices!CW2</f>
        <v>43914</v>
      </c>
      <c r="CX2" s="1">
        <f>Prices!CX2</f>
        <v>43915</v>
      </c>
      <c r="CY2" s="1">
        <f>Prices!CY2</f>
        <v>43916</v>
      </c>
      <c r="CZ2" s="1">
        <f>Prices!CZ2</f>
        <v>43917</v>
      </c>
      <c r="DA2" s="1">
        <f>Prices!DA2</f>
        <v>43920</v>
      </c>
      <c r="DB2" s="1">
        <f>Prices!DB2</f>
        <v>43921</v>
      </c>
      <c r="DC2" s="1"/>
      <c r="DD2" s="1"/>
      <c r="DE2" s="1"/>
      <c r="DF2" s="1"/>
      <c r="DG2" s="1"/>
      <c r="DH2" s="1"/>
      <c r="DI2" s="1"/>
      <c r="DJ2" s="1"/>
    </row>
    <row r="3" spans="1:124">
      <c r="A3" s="2" t="s">
        <v>0</v>
      </c>
      <c r="C3" s="13">
        <f>SUM(C4:C9)</f>
        <v>99994.18</v>
      </c>
      <c r="BM3" s="13">
        <f>SUM(BM4:BM9)</f>
        <v>107261.85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>
        <f>SUM(BZ4:BZ9)</f>
        <v>112010.73</v>
      </c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L3" t="s">
        <v>126</v>
      </c>
    </row>
    <row r="4" spans="1:124">
      <c r="A4" s="3" t="s">
        <v>1</v>
      </c>
      <c r="B4">
        <v>104</v>
      </c>
      <c r="C4" s="6">
        <f>$B4*Prices!C4</f>
        <v>19931.600000000002</v>
      </c>
      <c r="D4" s="6">
        <f>$B4*Prices!D4</f>
        <v>20136.48</v>
      </c>
      <c r="E4" s="6">
        <f>$B4*Prices!E4</f>
        <v>20250.88</v>
      </c>
      <c r="F4" s="6">
        <f>$B4*Prices!F4</f>
        <v>20209.28</v>
      </c>
      <c r="G4" s="6">
        <f>$B4*Prices!G4</f>
        <v>19921.2</v>
      </c>
      <c r="H4" s="6">
        <f>$B4*Prices!H4</f>
        <v>19803.68</v>
      </c>
      <c r="I4" s="6">
        <f>$B4*Prices!I4</f>
        <v>19847.36</v>
      </c>
      <c r="J4" s="6">
        <f>$B4*Prices!J4</f>
        <v>19719.440000000002</v>
      </c>
      <c r="K4" s="6">
        <f>$B4*Prices!K4</f>
        <v>20224.88</v>
      </c>
      <c r="L4" s="6">
        <f>$B4*Prices!L4</f>
        <v>20091.759999999998</v>
      </c>
      <c r="M4" s="6">
        <f>$B4*Prices!M4</f>
        <v>20087.600000000002</v>
      </c>
      <c r="N4" s="6">
        <f>$B4*Prices!N4</f>
        <v>20290.399999999998</v>
      </c>
      <c r="O4" s="6">
        <f>$B4*Prices!O4</f>
        <v>20529.600000000002</v>
      </c>
      <c r="P4" s="6">
        <f>$B4*Prices!P4</f>
        <v>20729.28</v>
      </c>
      <c r="Q4" s="6">
        <f>$B4*Prices!Q4</f>
        <v>20541.04</v>
      </c>
      <c r="R4" s="6">
        <f>$B4*Prices!R4</f>
        <v>20584.72</v>
      </c>
      <c r="S4" s="6">
        <f>$B4*Prices!S4</f>
        <v>20677.28</v>
      </c>
      <c r="T4" s="6">
        <f>$B4*Prices!T4</f>
        <v>20778.16</v>
      </c>
      <c r="U4" s="6">
        <f>$B4*Prices!U4</f>
        <v>20692.88</v>
      </c>
      <c r="V4" s="6">
        <f>$B4*Prices!V4</f>
        <v>21008</v>
      </c>
      <c r="W4" s="6">
        <f>$B4*Prices!W4</f>
        <v>20970.559999999998</v>
      </c>
      <c r="X4" s="6">
        <f>$B4*Prices!X4</f>
        <v>20768.8</v>
      </c>
      <c r="Y4" s="6">
        <f>$B4*Prices!Y4</f>
        <v>20677.28</v>
      </c>
      <c r="Z4" s="6">
        <f>$B4*Prices!Z4</f>
        <v>20665.84</v>
      </c>
      <c r="AA4" s="6">
        <f>$B4*Prices!AA4</f>
        <v>20733.440000000002</v>
      </c>
      <c r="AB4" s="6">
        <f>$B4*Prices!AB4</f>
        <v>20909.2</v>
      </c>
      <c r="AC4" s="6">
        <f>$B4*Prices!AC4</f>
        <v>20939.36</v>
      </c>
      <c r="AD4" s="6">
        <f>$B4*Prices!AD4</f>
        <v>20890.48</v>
      </c>
      <c r="AE4" s="6">
        <f>$B4*Prices!AE4</f>
        <v>21035.040000000001</v>
      </c>
      <c r="AF4" s="6">
        <f>$B4*Prices!AF4</f>
        <v>20462</v>
      </c>
      <c r="AG4" s="6">
        <f>$B4*Prices!AG4</f>
        <v>20187.440000000002</v>
      </c>
      <c r="AH4" s="6">
        <f>$B4*Prices!AH4</f>
        <v>20583.68</v>
      </c>
      <c r="AI4" s="6">
        <f>$B4*Prices!AI4</f>
        <v>20632.559999999998</v>
      </c>
      <c r="AJ4" s="6">
        <f>$B4*Prices!AJ4</f>
        <v>21060</v>
      </c>
      <c r="AK4" s="6">
        <f>$B4*Prices!AK4</f>
        <v>21430.240000000002</v>
      </c>
      <c r="AL4" s="6">
        <f>$B4*Prices!AL4</f>
        <v>21455.200000000001</v>
      </c>
      <c r="AM4" s="6">
        <f>$B4*Prices!AM4</f>
        <v>21442.720000000001</v>
      </c>
      <c r="AN4" s="6">
        <f>$B4*Prices!AN4</f>
        <v>21332.48</v>
      </c>
      <c r="AO4" s="6">
        <f>$B4*Prices!AO4</f>
        <v>21610.16</v>
      </c>
      <c r="AP4" s="6">
        <f>$B4*Prices!AP4</f>
        <v>21642.399999999998</v>
      </c>
      <c r="AQ4" s="6">
        <f>$B4*Prices!AQ4</f>
        <v>21258.639999999999</v>
      </c>
      <c r="AR4" s="6">
        <f>$B4*Prices!AR4</f>
        <v>21346</v>
      </c>
      <c r="AS4" s="6">
        <f>$B4*Prices!AS4</f>
        <v>21817.119999999999</v>
      </c>
      <c r="AT4" s="6">
        <f>$B4*Prices!AT4</f>
        <v>21701.68</v>
      </c>
      <c r="AU4" s="6">
        <f>$B4*Prices!AU4</f>
        <v>22110.399999999998</v>
      </c>
      <c r="AV4" s="6">
        <f>$B4*Prices!AV4</f>
        <v>22158.240000000002</v>
      </c>
      <c r="AW4" s="6">
        <f>$B4*Prices!AW4</f>
        <v>22382.880000000001</v>
      </c>
      <c r="AX4" s="6">
        <f>$B4*Prices!AX4</f>
        <v>22703.200000000001</v>
      </c>
      <c r="AY4" s="6">
        <f>$B4*Prices!AY4</f>
        <v>22678.240000000002</v>
      </c>
      <c r="AZ4" s="6">
        <f>$B4*Prices!AZ4</f>
        <v>23078.639999999999</v>
      </c>
      <c r="BA4" s="6">
        <f>$B4*Prices!BA4</f>
        <v>22782.240000000002</v>
      </c>
      <c r="BB4" s="6">
        <f>$B4*Prices!BB4</f>
        <v>22999.600000000002</v>
      </c>
      <c r="BC4" s="6">
        <f>$B4*Prices!BC4</f>
        <v>23064.080000000002</v>
      </c>
      <c r="BD4" s="6">
        <f>$B4*Prices!BD4</f>
        <v>23102.559999999998</v>
      </c>
      <c r="BE4" s="6">
        <f>$B4*Prices!BE4</f>
        <v>23029.759999999998</v>
      </c>
      <c r="BF4" s="6">
        <f>$B4*Prices!BF4</f>
        <v>23017.279999999999</v>
      </c>
      <c r="BG4" s="6">
        <f>$B4*Prices!BG4</f>
        <v>22855.040000000001</v>
      </c>
      <c r="BH4" s="6">
        <f>$B4*Prices!BH4</f>
        <v>22665.759999999998</v>
      </c>
      <c r="BI4" s="6">
        <f>$B4*Prices!BI4</f>
        <v>22346.48</v>
      </c>
      <c r="BJ4" s="6">
        <f>$B4*Prices!BJ4</f>
        <v>22650.16</v>
      </c>
      <c r="BK4" s="6">
        <f>$B4*Prices!BK4</f>
        <v>23215.919999999998</v>
      </c>
      <c r="BL4" s="6">
        <f>$B4*Prices!BL4</f>
        <v>21791.119999999999</v>
      </c>
      <c r="BM4" s="6">
        <f>$B4*Prices!BM4</f>
        <v>20998.639999999999</v>
      </c>
      <c r="BN4" s="6">
        <f>$B4*Prices!BN4</f>
        <v>21235.759999999998</v>
      </c>
      <c r="BO4" s="6">
        <f>$B4*Prices!BO4</f>
        <v>21822.32</v>
      </c>
      <c r="BP4" s="6">
        <f>$B4*Prices!BP4</f>
        <v>21851.440000000002</v>
      </c>
      <c r="BQ4" s="6">
        <f>$B4*Prices!BQ4</f>
        <v>21928.399999999998</v>
      </c>
      <c r="BR4" s="6">
        <f>$B4*Prices!BR4</f>
        <v>22082.32</v>
      </c>
      <c r="BS4" s="6">
        <f>$B4*Prices!BS4</f>
        <v>22158.240000000002</v>
      </c>
      <c r="BT4" s="6">
        <f>$B4*Prices!BT4</f>
        <v>21547.759999999998</v>
      </c>
      <c r="BU4" s="6">
        <f>$B4*Prices!BU4</f>
        <v>21919.040000000001</v>
      </c>
      <c r="BV4" s="6">
        <f>$B4*Prices!BV4</f>
        <v>22166.559999999998</v>
      </c>
      <c r="BW4" s="6">
        <f>$B4*Prices!BW4</f>
        <v>22274.720000000001</v>
      </c>
      <c r="BX4" s="6">
        <f>$B4*Prices!BX4</f>
        <v>22651.200000000001</v>
      </c>
      <c r="BY4" s="6">
        <f>$B4*Prices!BY4</f>
        <v>22618.959999999999</v>
      </c>
      <c r="BZ4" s="6">
        <f>$B4*Prices!BZ4</f>
        <v>22316.32</v>
      </c>
      <c r="CA4" s="6">
        <f>$B4*Prices!CA4</f>
        <v>21858.719271999998</v>
      </c>
      <c r="CB4" s="6">
        <f>$B4*Prices!CB4</f>
        <v>20874.880104</v>
      </c>
      <c r="CC4" s="6">
        <f>$B4*Prices!CC4</f>
        <v>20464.080416000001</v>
      </c>
      <c r="CD4" s="6">
        <f>$B4*Prices!CD4</f>
        <v>20508.799687999999</v>
      </c>
      <c r="CE4" s="6">
        <f>$B4*Prices!CE4</f>
        <v>19734</v>
      </c>
      <c r="CF4" s="6">
        <f>$B4*Prices!CF4</f>
        <v>20016.880104</v>
      </c>
      <c r="CG4" s="6">
        <f>$B4*Prices!CG4</f>
        <v>20429.760208</v>
      </c>
      <c r="CH4" s="6">
        <f>$B4*Prices!CH4</f>
        <v>19332.559895999999</v>
      </c>
      <c r="CI4" s="6">
        <f>$B4*Prices!CI4</f>
        <v>19943.039479999999</v>
      </c>
      <c r="CJ4" s="6">
        <f>$B4*Prices!CJ4</f>
        <v>19257.679791999999</v>
      </c>
      <c r="CK4" s="6">
        <f>$B4*Prices!CK4</f>
        <v>18833.359584000002</v>
      </c>
      <c r="CL4" s="6">
        <f>$B4*Prices!CL4</f>
        <v>17628</v>
      </c>
      <c r="CM4" s="6">
        <f>$B4*Prices!CM4</f>
        <v>18531.760208</v>
      </c>
      <c r="CN4" s="6">
        <f>$B4*Prices!CN4</f>
        <v>17704.960520000001</v>
      </c>
      <c r="CO4" s="6">
        <f>$B4*Prices!CO4</f>
        <v>16064.880104</v>
      </c>
      <c r="CP4" s="6">
        <f>$B4*Prices!CP4</f>
        <v>17709.119896</v>
      </c>
      <c r="CQ4" s="6">
        <f>$B4*Prices!CQ4</f>
        <v>15185.039479999999</v>
      </c>
      <c r="CR4" s="6">
        <f>$B4*Prices!CR4</f>
        <v>15539.679791999999</v>
      </c>
      <c r="CS4" s="6">
        <f>$B4*Prices!CS4</f>
        <v>15283.840727999999</v>
      </c>
      <c r="CT4" s="6">
        <f>$B4*Prices!CT4</f>
        <v>15925.520520000002</v>
      </c>
      <c r="CU4" s="6">
        <f>$B4*Prices!CU4</f>
        <v>15571.919583999999</v>
      </c>
      <c r="CV4" s="6">
        <f>$B4*Prices!CV4</f>
        <v>15402.400624000002</v>
      </c>
      <c r="CW4" s="6">
        <f>$B4*Prices!CW4</f>
        <v>16741.919583999999</v>
      </c>
      <c r="CX4" s="6">
        <f>$B4*Prices!CX4</f>
        <v>16245.840727999999</v>
      </c>
      <c r="CY4" s="6">
        <f>$B4*Prices!CY4</f>
        <v>16987.359584000002</v>
      </c>
      <c r="CZ4" s="6">
        <f>$B4*Prices!CZ4</f>
        <v>16306.159272000001</v>
      </c>
      <c r="DA4" s="6">
        <f>$B4*Prices!DA4</f>
        <v>17258.799687999999</v>
      </c>
      <c r="DB4" s="6" t="e">
        <f>$B4*Prices!DB4</f>
        <v>#VALUE!</v>
      </c>
      <c r="DC4" s="6"/>
      <c r="DD4" s="6"/>
      <c r="DE4" s="6"/>
      <c r="DF4" s="6"/>
      <c r="DG4" s="6"/>
      <c r="DH4" s="6"/>
      <c r="DI4" s="6"/>
      <c r="DJ4" s="6"/>
      <c r="DL4">
        <f>B4</f>
        <v>104</v>
      </c>
      <c r="DM4">
        <f>DL4*Prices!BM4</f>
        <v>20998.639999999999</v>
      </c>
      <c r="DN4" s="12">
        <f t="shared" ref="DN4:DN9" si="0">DM4/SUM($DM$4:$DM$9)</f>
        <v>0.19583510101502311</v>
      </c>
      <c r="DQ4" s="22">
        <f t="shared" ref="DQ4:DQ9" si="1">BM4/$BM$3</f>
        <v>0.19576988463279346</v>
      </c>
      <c r="DR4" s="6">
        <f t="shared" ref="DR4:DR9" si="2">BM4-C4</f>
        <v>1067.0399999999972</v>
      </c>
      <c r="DS4" s="22">
        <f t="shared" ref="DS4:DS9" si="3">DR4/DT4</f>
        <v>1.4807006851487819E-2</v>
      </c>
      <c r="DT4" s="23">
        <f t="shared" ref="DT4:DT9" si="4">$BM$70-$C$70</f>
        <v>72063.179999999818</v>
      </c>
    </row>
    <row r="5" spans="1:124">
      <c r="A5" s="3" t="s">
        <v>2</v>
      </c>
      <c r="B5">
        <v>154</v>
      </c>
      <c r="C5" s="6">
        <f>$B5*Prices!C5</f>
        <v>11240.46</v>
      </c>
      <c r="D5" s="6">
        <f>$B5*Prices!D5</f>
        <v>11242</v>
      </c>
      <c r="E5" s="6">
        <f>$B5*Prices!E5</f>
        <v>10966.339999999998</v>
      </c>
      <c r="F5" s="6">
        <f>$B5*Prices!F5</f>
        <v>10590.58</v>
      </c>
      <c r="G5" s="6">
        <f>$B5*Prices!G5</f>
        <v>10324.160000000002</v>
      </c>
      <c r="H5" s="6">
        <f>$B5*Prices!H5</f>
        <v>10733.800000000001</v>
      </c>
      <c r="I5" s="6">
        <f>$B5*Prices!I5</f>
        <v>10638.32</v>
      </c>
      <c r="J5" s="6">
        <f>$B5*Prices!J5</f>
        <v>10578.26</v>
      </c>
      <c r="K5" s="6">
        <f>$B5*Prices!K5</f>
        <v>10535.14</v>
      </c>
      <c r="L5" s="6">
        <f>$B5*Prices!L5</f>
        <v>10579.800000000001</v>
      </c>
      <c r="M5" s="6">
        <f>$B5*Prices!M5</f>
        <v>10684.519999999999</v>
      </c>
      <c r="N5" s="6">
        <f>$B5*Prices!N5</f>
        <v>10792.32</v>
      </c>
      <c r="O5" s="6">
        <f>$B5*Prices!O5</f>
        <v>10947.86</v>
      </c>
      <c r="P5" s="6">
        <f>$B5*Prices!P5</f>
        <v>11066.44</v>
      </c>
      <c r="Q5" s="6">
        <f>$B5*Prices!Q5</f>
        <v>10852.38</v>
      </c>
      <c r="R5" s="6">
        <f>$B5*Prices!R5</f>
        <v>10786.160000000002</v>
      </c>
      <c r="S5" s="6">
        <f>$B5*Prices!S5</f>
        <v>10759.980000000001</v>
      </c>
      <c r="T5" s="6">
        <f>$B5*Prices!T5</f>
        <v>10669.12</v>
      </c>
      <c r="U5" s="6">
        <f>$B5*Prices!U5</f>
        <v>10836.980000000001</v>
      </c>
      <c r="V5" s="6">
        <f>$B5*Prices!V5</f>
        <v>10803.1</v>
      </c>
      <c r="W5" s="6">
        <f>$B5*Prices!W5</f>
        <v>10853.92</v>
      </c>
      <c r="X5" s="6">
        <f>$B5*Prices!X5</f>
        <v>10536.68</v>
      </c>
      <c r="Y5" s="6">
        <f>$B5*Prices!Y5</f>
        <v>10512.04</v>
      </c>
      <c r="Z5" s="6">
        <f>$B5*Prices!Z5</f>
        <v>10468.92</v>
      </c>
      <c r="AA5" s="6">
        <f>$B5*Prices!AA5</f>
        <v>10492.019999999999</v>
      </c>
      <c r="AB5" s="6">
        <f>$B5*Prices!AB5</f>
        <v>10451.980000000001</v>
      </c>
      <c r="AC5" s="6">
        <f>$B5*Prices!AC5</f>
        <v>10442.74</v>
      </c>
      <c r="AD5" s="6">
        <f>$B5*Prices!AD5</f>
        <v>10510.5</v>
      </c>
      <c r="AE5" s="6">
        <f>$B5*Prices!AE5</f>
        <v>10567.480000000001</v>
      </c>
      <c r="AF5" s="6">
        <f>$B5*Prices!AF5</f>
        <v>10639.86</v>
      </c>
      <c r="AG5" s="6">
        <f>$B5*Prices!AG5</f>
        <v>11074.14</v>
      </c>
      <c r="AH5" s="6">
        <f>$B5*Prices!AH5</f>
        <v>11135.74</v>
      </c>
      <c r="AI5" s="6">
        <f>$B5*Prices!AI5</f>
        <v>10940.160000000002</v>
      </c>
      <c r="AJ5" s="6">
        <f>$B5*Prices!AJ5</f>
        <v>10970.96</v>
      </c>
      <c r="AK5" s="6">
        <f>$B5*Prices!AK5</f>
        <v>11911.9</v>
      </c>
      <c r="AL5" s="6">
        <f>$B5*Prices!AL5</f>
        <v>12298.44</v>
      </c>
      <c r="AM5" s="6">
        <f>$B5*Prices!AM5</f>
        <v>12347.720000000001</v>
      </c>
      <c r="AN5" s="6">
        <f>$B5*Prices!AN5</f>
        <v>12464.76</v>
      </c>
      <c r="AO5" s="6">
        <f>$B5*Prices!AO5</f>
        <v>12706.54</v>
      </c>
      <c r="AP5" s="6">
        <f>$B5*Prices!AP5</f>
        <v>12940.62</v>
      </c>
      <c r="AQ5" s="6">
        <f>$B5*Prices!AQ5</f>
        <v>12778.92</v>
      </c>
      <c r="AR5" s="6">
        <f>$B5*Prices!AR5</f>
        <v>12644.94</v>
      </c>
      <c r="AS5" s="6">
        <f>$B5*Prices!AS5</f>
        <v>12965.26</v>
      </c>
      <c r="AT5" s="6">
        <f>$B5*Prices!AT5</f>
        <v>12951.4</v>
      </c>
      <c r="AU5" s="6">
        <f>$B5*Prices!AU5</f>
        <v>12985.279999999999</v>
      </c>
      <c r="AV5" s="6">
        <f>$B5*Prices!AV5</f>
        <v>12908.279999999999</v>
      </c>
      <c r="AW5" s="6">
        <f>$B5*Prices!AW5</f>
        <v>13097.699999999999</v>
      </c>
      <c r="AX5" s="6">
        <f>$B5*Prices!AX5</f>
        <v>13205.5</v>
      </c>
      <c r="AY5" s="6">
        <f>$B5*Prices!AY5</f>
        <v>13418.019999999999</v>
      </c>
      <c r="AZ5" s="6">
        <f>$B5*Prices!AZ5</f>
        <v>13795.32</v>
      </c>
      <c r="BA5" s="6">
        <f>$B5*Prices!BA5</f>
        <v>13816.88</v>
      </c>
      <c r="BB5" s="6">
        <f>$B5*Prices!BB5</f>
        <v>14029.4</v>
      </c>
      <c r="BC5" s="6">
        <f>$B5*Prices!BC5</f>
        <v>14237.300000000001</v>
      </c>
      <c r="BD5" s="6">
        <f>$B5*Prices!BD5</f>
        <v>14030.94</v>
      </c>
      <c r="BE5" s="6">
        <f>$B5*Prices!BE5</f>
        <v>13821.5</v>
      </c>
      <c r="BF5" s="6">
        <f>$B5*Prices!BF5</f>
        <v>13792.24</v>
      </c>
      <c r="BG5" s="6">
        <f>$B5*Prices!BG5</f>
        <v>13624.38</v>
      </c>
      <c r="BH5" s="6">
        <f>$B5*Prices!BH5</f>
        <v>13177.779999999999</v>
      </c>
      <c r="BI5" s="6">
        <f>$B5*Prices!BI5</f>
        <v>12989.9</v>
      </c>
      <c r="BJ5" s="6">
        <f>$B5*Prices!BJ5</f>
        <v>12929.839999999998</v>
      </c>
      <c r="BK5" s="6">
        <f>$B5*Prices!BK5</f>
        <v>12478.62</v>
      </c>
      <c r="BL5" s="6">
        <f>$B5*Prices!BL5</f>
        <v>12481.699999999999</v>
      </c>
      <c r="BM5" s="6">
        <f>$B5*Prices!BM5</f>
        <v>12045.88</v>
      </c>
      <c r="BN5" s="6">
        <f>$B5*Prices!BN5</f>
        <v>12430.88</v>
      </c>
      <c r="BO5" s="6">
        <f>$B5*Prices!BO5</f>
        <v>12771.220000000001</v>
      </c>
      <c r="BP5" s="6">
        <f>$B5*Prices!BP5</f>
        <v>11704</v>
      </c>
      <c r="BQ5" s="6">
        <f>$B5*Prices!BQ5</f>
        <v>12244.54</v>
      </c>
      <c r="BR5" s="6">
        <f>$B5*Prices!BR5</f>
        <v>11973.5</v>
      </c>
      <c r="BS5" s="6">
        <f>$B5*Prices!BS5</f>
        <v>11674.74</v>
      </c>
      <c r="BT5" s="6">
        <f>$B5*Prices!BT5</f>
        <v>11485.32</v>
      </c>
      <c r="BU5" s="6">
        <f>$B5*Prices!BU5</f>
        <v>11627</v>
      </c>
      <c r="BV5" s="6">
        <f>$B5*Prices!BV5</f>
        <v>11582.339999999998</v>
      </c>
      <c r="BW5" s="6">
        <f>$B5*Prices!BW5</f>
        <v>11781</v>
      </c>
      <c r="BX5" s="6">
        <f>$B5*Prices!BX5</f>
        <v>11811.800000000001</v>
      </c>
      <c r="BY5" s="6">
        <f>$B5*Prices!BY5</f>
        <v>11691.68</v>
      </c>
      <c r="BZ5" s="6">
        <f>$B5*Prices!BZ5</f>
        <v>11573.1</v>
      </c>
      <c r="CA5" s="6">
        <f>$B5*Prices!CA5</f>
        <v>11319</v>
      </c>
      <c r="CB5" s="6">
        <f>$B5*Prices!CB5</f>
        <v>10803.100308000001</v>
      </c>
      <c r="CC5" s="6">
        <f>$B5*Prices!CC5</f>
        <v>10433.5</v>
      </c>
      <c r="CD5" s="6">
        <f>$B5*Prices!CD5</f>
        <v>10170.160154000001</v>
      </c>
      <c r="CE5" s="6">
        <f>$B5*Prices!CE5</f>
        <v>9979.2004620000007</v>
      </c>
      <c r="CF5" s="6">
        <f>$B5*Prices!CF5</f>
        <v>10010</v>
      </c>
      <c r="CG5" s="6">
        <f>$B5*Prices!CG5</f>
        <v>10493.559846</v>
      </c>
      <c r="CH5" s="6">
        <f>$B5*Prices!CH5</f>
        <v>10133.200462000001</v>
      </c>
      <c r="CI5" s="6">
        <f>$B5*Prices!CI5</f>
        <v>10481.239691999999</v>
      </c>
      <c r="CJ5" s="6">
        <f>$B5*Prices!CJ5</f>
        <v>10257.940154</v>
      </c>
      <c r="CK5" s="6">
        <f>$B5*Prices!CK5</f>
        <v>10096.239691999999</v>
      </c>
      <c r="CL5" s="6">
        <f>$B5*Prices!CL5</f>
        <v>9862.1601540000011</v>
      </c>
      <c r="CM5" s="6">
        <f>$B5*Prices!CM5</f>
        <v>10136.279999999999</v>
      </c>
      <c r="CN5" s="6">
        <f>$B5*Prices!CN5</f>
        <v>9705.08</v>
      </c>
      <c r="CO5" s="6">
        <f>$B5*Prices!CO5</f>
        <v>8865.7800000000007</v>
      </c>
      <c r="CP5" s="6">
        <f>$B5*Prices!CP5</f>
        <v>9312.3801540000004</v>
      </c>
      <c r="CQ5" s="6">
        <f>$B5*Prices!CQ5</f>
        <v>8376.0598460000001</v>
      </c>
      <c r="CR5" s="6">
        <f>$B5*Prices!CR5</f>
        <v>8781.08</v>
      </c>
      <c r="CS5" s="6">
        <f>$B5*Prices!CS5</f>
        <v>8008</v>
      </c>
      <c r="CT5" s="6">
        <f>$B5*Prices!CT5</f>
        <v>7817.0396920000003</v>
      </c>
      <c r="CU5" s="6">
        <f>$B5*Prices!CU5</f>
        <v>7291.899692</v>
      </c>
      <c r="CV5" s="6">
        <f>$B5*Prices!CV5</f>
        <v>7501.3398460000008</v>
      </c>
      <c r="CW5" s="6">
        <f>$B5*Prices!CW5</f>
        <v>8910.4401539999999</v>
      </c>
      <c r="CX5" s="6">
        <f>$B5*Prices!CX5</f>
        <v>10102.399691999999</v>
      </c>
      <c r="CY5" s="6">
        <f>$B5*Prices!CY5</f>
        <v>9791.3203080000003</v>
      </c>
      <c r="CZ5" s="6">
        <f>$B5*Prices!CZ5</f>
        <v>9621.92</v>
      </c>
      <c r="DA5" s="6">
        <f>$B5*Prices!DA5</f>
        <v>10267.179692000002</v>
      </c>
      <c r="DB5" s="6">
        <f>$B5*Prices!DB5</f>
        <v>10170.160154000001</v>
      </c>
      <c r="DC5" s="6"/>
      <c r="DD5" s="6"/>
      <c r="DE5" s="6"/>
      <c r="DF5" s="6"/>
      <c r="DG5" s="6"/>
      <c r="DH5" s="6"/>
      <c r="DI5" s="6"/>
      <c r="DJ5" s="6"/>
      <c r="DL5">
        <f>B5+'Communication Services'!V123</f>
        <v>194</v>
      </c>
      <c r="DM5">
        <f>DL5*Prices!BM5</f>
        <v>15174.68</v>
      </c>
      <c r="DN5" s="12">
        <f t="shared" si="0"/>
        <v>0.14152035515969846</v>
      </c>
      <c r="DQ5" s="22">
        <f t="shared" si="1"/>
        <v>0.11230348907836289</v>
      </c>
      <c r="DR5" s="6">
        <f t="shared" si="2"/>
        <v>805.42000000000007</v>
      </c>
      <c r="DS5" s="22">
        <f t="shared" si="3"/>
        <v>1.117658143867648E-2</v>
      </c>
      <c r="DT5" s="23">
        <f t="shared" si="4"/>
        <v>72063.179999999818</v>
      </c>
    </row>
    <row r="6" spans="1:124">
      <c r="A6" s="3" t="s">
        <v>3</v>
      </c>
      <c r="B6">
        <v>259</v>
      </c>
      <c r="C6" s="6">
        <f>$B6*Prices!C6</f>
        <v>9968.91</v>
      </c>
      <c r="D6" s="6">
        <f>$B6*Prices!D6</f>
        <v>10088.050000000001</v>
      </c>
      <c r="E6" s="6">
        <f>$B6*Prices!E6</f>
        <v>10072.51</v>
      </c>
      <c r="F6" s="6">
        <f>$B6*Prices!F6</f>
        <v>10145.030000000001</v>
      </c>
      <c r="G6" s="6">
        <f>$B6*Prices!G6</f>
        <v>10165.75</v>
      </c>
      <c r="H6" s="6">
        <f>$B6*Prices!H6</f>
        <v>10209.780000000001</v>
      </c>
      <c r="I6" s="6">
        <f>$B6*Prices!I6</f>
        <v>10199.42</v>
      </c>
      <c r="J6" s="6">
        <f>$B6*Prices!J6</f>
        <v>10196.83</v>
      </c>
      <c r="K6" s="6">
        <f>$B6*Prices!K6</f>
        <v>10145.030000000001</v>
      </c>
      <c r="L6" s="6">
        <f>$B6*Prices!L6</f>
        <v>10142.439999999999</v>
      </c>
      <c r="M6" s="6">
        <f>$B6*Prices!M6</f>
        <v>10088.050000000001</v>
      </c>
      <c r="N6" s="6">
        <f>$B6*Prices!N6</f>
        <v>10230.5</v>
      </c>
      <c r="O6" s="6">
        <f>$B6*Prices!O6</f>
        <v>10264.17</v>
      </c>
      <c r="P6" s="6">
        <f>$B6*Prices!P6</f>
        <v>9842</v>
      </c>
      <c r="Q6" s="6">
        <f>$B6*Prices!Q6</f>
        <v>9629.6200000000008</v>
      </c>
      <c r="R6" s="6">
        <f>$B6*Prices!R6</f>
        <v>9738.4</v>
      </c>
      <c r="S6" s="6">
        <f>$B6*Prices!S6</f>
        <v>9777.25</v>
      </c>
      <c r="T6" s="6">
        <f>$B6*Prices!T6</f>
        <v>9650.34</v>
      </c>
      <c r="U6" s="6">
        <f>$B6*Prices!U6</f>
        <v>9686.6</v>
      </c>
      <c r="V6" s="6">
        <f>$B6*Prices!V6</f>
        <v>9753.9399999999987</v>
      </c>
      <c r="W6" s="6">
        <f>$B6*Prices!W6</f>
        <v>9681.42</v>
      </c>
      <c r="X6" s="6">
        <f>$B6*Prices!X6</f>
        <v>9665.8799999999992</v>
      </c>
      <c r="Y6" s="6">
        <f>$B6*Prices!Y6</f>
        <v>9725.4499999999989</v>
      </c>
      <c r="Z6" s="6">
        <f>$B6*Prices!Z6</f>
        <v>9867.9</v>
      </c>
      <c r="AA6" s="6">
        <f>$B6*Prices!AA6</f>
        <v>9891.2099999999991</v>
      </c>
      <c r="AB6" s="6">
        <f>$B6*Prices!AB6</f>
        <v>9893.8000000000011</v>
      </c>
      <c r="AC6" s="6">
        <f>$B6*Prices!AC6</f>
        <v>9852.36</v>
      </c>
      <c r="AD6" s="6">
        <f>$B6*Prices!AD6</f>
        <v>9857.5400000000009</v>
      </c>
      <c r="AE6" s="6">
        <f>$B6*Prices!AE6</f>
        <v>9886.0300000000007</v>
      </c>
      <c r="AF6" s="6">
        <f>$B6*Prices!AF6</f>
        <v>9932.65</v>
      </c>
      <c r="AG6" s="6">
        <f>$B6*Prices!AG6</f>
        <v>9909.34</v>
      </c>
      <c r="AH6" s="6">
        <f>$B6*Prices!AH6</f>
        <v>9994.8100000000013</v>
      </c>
      <c r="AI6" s="6">
        <f>$B6*Prices!AI6</f>
        <v>9971.5</v>
      </c>
      <c r="AJ6" s="6">
        <f>$B6*Prices!AJ6</f>
        <v>10033.66</v>
      </c>
      <c r="AK6" s="6">
        <f>$B6*Prices!AK6</f>
        <v>10082.870000000001</v>
      </c>
      <c r="AL6" s="6">
        <f>$B6*Prices!AL6</f>
        <v>10139.85</v>
      </c>
      <c r="AM6" s="6">
        <f>$B6*Prices!AM6</f>
        <v>10119.129999999999</v>
      </c>
      <c r="AN6" s="6">
        <f>$B6*Prices!AN6</f>
        <v>10090.64</v>
      </c>
      <c r="AO6" s="6">
        <f>$B6*Prices!AO6</f>
        <v>10142.439999999999</v>
      </c>
      <c r="AP6" s="6">
        <f>$B6*Prices!AP6</f>
        <v>10163.16</v>
      </c>
      <c r="AQ6" s="6">
        <f>$B6*Prices!AQ6</f>
        <v>10111.36</v>
      </c>
      <c r="AR6" s="6">
        <f>$B6*Prices!AR6</f>
        <v>10121.719999999999</v>
      </c>
      <c r="AS6" s="6">
        <f>$B6*Prices!AS6</f>
        <v>10064.74</v>
      </c>
      <c r="AT6" s="6">
        <f>$B6*Prices!AT6</f>
        <v>10116.540000000001</v>
      </c>
      <c r="AU6" s="6">
        <f>$B6*Prices!AU6</f>
        <v>10126.9</v>
      </c>
      <c r="AV6" s="6">
        <f>$B6*Prices!AV6</f>
        <v>10165.75</v>
      </c>
      <c r="AW6" s="6">
        <f>$B6*Prices!AW6</f>
        <v>10196.83</v>
      </c>
      <c r="AX6" s="6">
        <f>$B6*Prices!AX6</f>
        <v>10049.199999999999</v>
      </c>
      <c r="AY6" s="6">
        <f>$B6*Prices!AY6</f>
        <v>9989.6299999999992</v>
      </c>
      <c r="AZ6" s="6">
        <f>$B6*Prices!AZ6</f>
        <v>9867.9</v>
      </c>
      <c r="BA6" s="6">
        <f>$B6*Prices!BA6</f>
        <v>9865.3100000000013</v>
      </c>
      <c r="BB6" s="6">
        <f>$B6*Prices!BB6</f>
        <v>9808.33</v>
      </c>
      <c r="BC6" s="6">
        <f>$B6*Prices!BC6</f>
        <v>9849.77</v>
      </c>
      <c r="BD6" s="6">
        <f>$B6*Prices!BD6</f>
        <v>9940.42</v>
      </c>
      <c r="BE6" s="6">
        <f>$B6*Prices!BE6</f>
        <v>9976.68</v>
      </c>
      <c r="BF6" s="6">
        <f>$B6*Prices!BF6</f>
        <v>10111.36</v>
      </c>
      <c r="BG6" s="6">
        <f>$B6*Prices!BG6</f>
        <v>10005.17</v>
      </c>
      <c r="BH6" s="6">
        <f>$B6*Prices!BH6</f>
        <v>9971.5</v>
      </c>
      <c r="BI6" s="6">
        <f>$B6*Prices!BI6</f>
        <v>9906.75</v>
      </c>
      <c r="BJ6" s="6">
        <f>$B6*Prices!BJ6</f>
        <v>9992.2199999999993</v>
      </c>
      <c r="BK6" s="6">
        <f>$B6*Prices!BK6</f>
        <v>9595.9499999999989</v>
      </c>
      <c r="BL6" s="6">
        <f>$B6*Prices!BL6</f>
        <v>9694.3700000000008</v>
      </c>
      <c r="BM6" s="6">
        <f>$B6*Prices!BM6</f>
        <v>9743.58</v>
      </c>
      <c r="BN6" s="6">
        <f>$B6*Prices!BN6</f>
        <v>9572.64</v>
      </c>
      <c r="BO6" s="6">
        <f>$B6*Prices!BO6</f>
        <v>9746.17</v>
      </c>
      <c r="BP6" s="6">
        <f>$B6*Prices!BP6</f>
        <v>9792.7900000000009</v>
      </c>
      <c r="BQ6" s="6">
        <f>$B6*Prices!BQ6</f>
        <v>9955.9599999999991</v>
      </c>
      <c r="BR6" s="6">
        <f>$B6*Prices!BR6</f>
        <v>9958.5500000000011</v>
      </c>
      <c r="BS6" s="6">
        <f>$B6*Prices!BS6</f>
        <v>9930.0600000000013</v>
      </c>
      <c r="BT6" s="6">
        <f>$B6*Prices!BT6</f>
        <v>9886.0300000000007</v>
      </c>
      <c r="BU6" s="6">
        <f>$B6*Prices!BU6</f>
        <v>9852.36</v>
      </c>
      <c r="BV6" s="6">
        <f>$B6*Prices!BV6</f>
        <v>9922.2900000000009</v>
      </c>
      <c r="BW6" s="6">
        <f>$B6*Prices!BW6</f>
        <v>9906.75</v>
      </c>
      <c r="BX6" s="6">
        <f>$B6*Prices!BX6</f>
        <v>9909.34</v>
      </c>
      <c r="BY6" s="6">
        <f>$B6*Prices!BY6</f>
        <v>9955.9599999999991</v>
      </c>
      <c r="BZ6" s="6">
        <f>$B6*Prices!BZ6</f>
        <v>9999.99</v>
      </c>
      <c r="CA6" s="6">
        <f>$B6*Prices!CA6</f>
        <v>9984.4497410000004</v>
      </c>
      <c r="CB6" s="6">
        <f>$B6*Prices!CB6</f>
        <v>9854.9497410000004</v>
      </c>
      <c r="CC6" s="6">
        <f>$B6*Prices!CC6</f>
        <v>9673.6494820000007</v>
      </c>
      <c r="CD6" s="6">
        <f>$B6*Prices!CD6</f>
        <v>9608.8994820000007</v>
      </c>
      <c r="CE6" s="6">
        <f>$B6*Prices!CE6</f>
        <v>9254.07</v>
      </c>
      <c r="CF6" s="6">
        <f>$B6*Prices!CF6</f>
        <v>9121.9802590000018</v>
      </c>
      <c r="CG6" s="6">
        <f>$B6*Prices!CG6</f>
        <v>9629.6200000000008</v>
      </c>
      <c r="CH6" s="6">
        <f>$B6*Prices!CH6</f>
        <v>9401.6997410000004</v>
      </c>
      <c r="CI6" s="6">
        <f>$B6*Prices!CI6</f>
        <v>9888.6200000000008</v>
      </c>
      <c r="CJ6" s="6">
        <f>$B6*Prices!CJ6</f>
        <v>9629.6200000000008</v>
      </c>
      <c r="CK6" s="6">
        <f>$B6*Prices!CK6</f>
        <v>9590.7697409999982</v>
      </c>
      <c r="CL6" s="6">
        <f>$B6*Prices!CL6</f>
        <v>8984.7097410000006</v>
      </c>
      <c r="CM6" s="6">
        <f>$B6*Prices!CM6</f>
        <v>9285.1494820000007</v>
      </c>
      <c r="CN6" s="6">
        <f>$B6*Prices!CN6</f>
        <v>8940.68</v>
      </c>
      <c r="CO6" s="6">
        <f>$B6*Prices!CO6</f>
        <v>8114.4699999999993</v>
      </c>
      <c r="CP6" s="6">
        <f>$B6*Prices!CP6</f>
        <v>8927.7302590000018</v>
      </c>
      <c r="CQ6" s="6">
        <f>$B6*Prices!CQ6</f>
        <v>8238.7897410000005</v>
      </c>
      <c r="CR6" s="6">
        <f>$B6*Prices!CR6</f>
        <v>8738.6605179999988</v>
      </c>
      <c r="CS6" s="6">
        <f>$B6*Prices!CS6</f>
        <v>8508.1494820000007</v>
      </c>
      <c r="CT6" s="6">
        <f>$B6*Prices!CT6</f>
        <v>8067.8499999999995</v>
      </c>
      <c r="CU6" s="6">
        <f>$B6*Prices!CU6</f>
        <v>7368.5502589999996</v>
      </c>
      <c r="CV6" s="6">
        <f>$B6*Prices!CV6</f>
        <v>6933.43</v>
      </c>
      <c r="CW6" s="6">
        <f>$B6*Prices!CW6</f>
        <v>7275.31</v>
      </c>
      <c r="CX6" s="6">
        <f>$B6*Prices!CX6</f>
        <v>7355.5999999999995</v>
      </c>
      <c r="CY6" s="6">
        <f>$B6*Prices!CY6</f>
        <v>7925.4000000000005</v>
      </c>
      <c r="CZ6" s="6">
        <f>$B6*Prices!CZ6</f>
        <v>7728.56</v>
      </c>
      <c r="DA6" s="6">
        <f>$B6*Prices!DA6</f>
        <v>7829.57</v>
      </c>
      <c r="DB6" s="6">
        <f>$B6*Prices!DB6</f>
        <v>7549.8499999999995</v>
      </c>
      <c r="DC6" s="6"/>
      <c r="DD6" s="6"/>
      <c r="DE6" s="6"/>
      <c r="DF6" s="6"/>
      <c r="DG6" s="6"/>
      <c r="DH6" s="6"/>
      <c r="DI6" s="6"/>
      <c r="DJ6" s="6"/>
      <c r="DL6">
        <f>B6-259</f>
        <v>0</v>
      </c>
      <c r="DM6">
        <f>DL6*Prices!BM6</f>
        <v>0</v>
      </c>
      <c r="DN6" s="12">
        <f t="shared" si="0"/>
        <v>0</v>
      </c>
      <c r="DQ6" s="22">
        <f t="shared" si="1"/>
        <v>9.0839193991153422E-2</v>
      </c>
      <c r="DR6" s="6">
        <f t="shared" si="2"/>
        <v>-225.32999999999993</v>
      </c>
      <c r="DS6" s="22">
        <f t="shared" si="3"/>
        <v>-3.1268395316443225E-3</v>
      </c>
      <c r="DT6" s="23">
        <f t="shared" si="4"/>
        <v>72063.179999999818</v>
      </c>
    </row>
    <row r="7" spans="1:124">
      <c r="A7" s="3" t="s">
        <v>4</v>
      </c>
      <c r="B7">
        <v>23</v>
      </c>
      <c r="C7" s="6">
        <f>$B7*Prices!C7</f>
        <v>28952.399999999998</v>
      </c>
      <c r="D7" s="6">
        <f>$B7*Prices!D7</f>
        <v>29261.75</v>
      </c>
      <c r="E7" s="6">
        <f>$B7*Prices!E7</f>
        <v>29661.03</v>
      </c>
      <c r="F7" s="6">
        <f>$B7*Prices!F7</f>
        <v>29703.120000000003</v>
      </c>
      <c r="G7" s="6">
        <f>$B7*Prices!G7</f>
        <v>29693.23</v>
      </c>
      <c r="H7" s="6">
        <f>$B7*Prices!H7</f>
        <v>30059.620000000003</v>
      </c>
      <c r="I7" s="6">
        <f>$B7*Prices!I7</f>
        <v>30107</v>
      </c>
      <c r="J7" s="6">
        <f>$B7*Prices!J7</f>
        <v>29860.44</v>
      </c>
      <c r="K7" s="6">
        <f>$B7*Prices!K7</f>
        <v>29835.83</v>
      </c>
      <c r="L7" s="6">
        <f>$B7*Prices!L7</f>
        <v>29812.140000000003</v>
      </c>
      <c r="M7" s="6">
        <f>$B7*Prices!M7</f>
        <v>30110.45</v>
      </c>
      <c r="N7" s="6">
        <f>$B7*Prices!N7</f>
        <v>30671.42</v>
      </c>
      <c r="O7" s="6">
        <f>$B7*Prices!O7</f>
        <v>30356.32</v>
      </c>
      <c r="P7" s="6">
        <f>$B7*Prices!P7</f>
        <v>30189.57</v>
      </c>
      <c r="Q7" s="6">
        <f>$B7*Prices!Q7</f>
        <v>29942.78</v>
      </c>
      <c r="R7" s="6">
        <f>$B7*Prices!R7</f>
        <v>29903.22</v>
      </c>
      <c r="S7" s="6">
        <f>$B7*Prices!S7</f>
        <v>29754.410000000003</v>
      </c>
      <c r="T7" s="6">
        <f>$B7*Prices!T7</f>
        <v>30029.72</v>
      </c>
      <c r="U7" s="6">
        <f>$B7*Prices!U7</f>
        <v>30199</v>
      </c>
      <c r="V7" s="6">
        <f>$B7*Prices!V7</f>
        <v>30178.99</v>
      </c>
      <c r="W7" s="6">
        <f>$B7*Prices!W7</f>
        <v>29994.07</v>
      </c>
      <c r="X7" s="6">
        <f>$B7*Prices!X7</f>
        <v>29643.78</v>
      </c>
      <c r="Y7" s="6">
        <f>$B7*Prices!Y7</f>
        <v>29779.02</v>
      </c>
      <c r="Z7" s="6">
        <f>$B7*Prices!Z7</f>
        <v>30335.620000000003</v>
      </c>
      <c r="AA7" s="6">
        <f>$B7*Prices!AA7</f>
        <v>30520.080000000002</v>
      </c>
      <c r="AB7" s="6">
        <f>$B7*Prices!AB7</f>
        <v>30805.97</v>
      </c>
      <c r="AC7" s="6">
        <f>$B7*Prices!AC7</f>
        <v>30888.77</v>
      </c>
      <c r="AD7" s="6">
        <f>$B7*Prices!AD7</f>
        <v>30886.47</v>
      </c>
      <c r="AE7" s="6">
        <f>$B7*Prices!AE7</f>
        <v>30917.75</v>
      </c>
      <c r="AF7" s="6">
        <f>$B7*Prices!AF7</f>
        <v>31015.27</v>
      </c>
      <c r="AG7" s="6">
        <f>$B7*Prices!AG7</f>
        <v>30978.01</v>
      </c>
      <c r="AH7" s="6">
        <f>$B7*Prices!AH7</f>
        <v>31296.100000000002</v>
      </c>
      <c r="AI7" s="6">
        <f>$B7*Prices!AI7</f>
        <v>31162.47</v>
      </c>
      <c r="AJ7" s="6">
        <f>$B7*Prices!AJ7</f>
        <v>31093.93</v>
      </c>
      <c r="AK7" s="6">
        <f>$B7*Prices!AK7</f>
        <v>31198.120000000003</v>
      </c>
      <c r="AL7" s="6">
        <f>$B7*Prices!AL7</f>
        <v>31078.06</v>
      </c>
      <c r="AM7" s="6">
        <f>$B7*Prices!AM7</f>
        <v>31064.49</v>
      </c>
      <c r="AN7" s="6">
        <f>$B7*Prices!AN7</f>
        <v>30921.890000000003</v>
      </c>
      <c r="AO7" s="6">
        <f>$B7*Prices!AO7</f>
        <v>31336.81</v>
      </c>
      <c r="AP7" s="6">
        <f>$B7*Prices!AP7</f>
        <v>31156.720000000001</v>
      </c>
      <c r="AQ7" s="6">
        <f>$B7*Prices!AQ7</f>
        <v>30813.33</v>
      </c>
      <c r="AR7" s="6">
        <f>$B7*Prices!AR7</f>
        <v>30805.97</v>
      </c>
      <c r="AS7" s="6">
        <f>$B7*Prices!AS7</f>
        <v>31479.640000000003</v>
      </c>
      <c r="AT7" s="6">
        <f>$B7*Prices!AT7</f>
        <v>31314.959999999999</v>
      </c>
      <c r="AU7" s="6">
        <f>$B7*Prices!AU7</f>
        <v>32149.629999999997</v>
      </c>
      <c r="AV7" s="6">
        <f>$B7*Prices!AV7</f>
        <v>32087.53</v>
      </c>
      <c r="AW7" s="6">
        <f>$B7*Prices!AW7</f>
        <v>32315.919999999998</v>
      </c>
      <c r="AX7" s="6">
        <f>$B7*Prices!AX7</f>
        <v>32655.17</v>
      </c>
      <c r="AY7" s="6">
        <f>$B7*Prices!AY7</f>
        <v>32866.080000000002</v>
      </c>
      <c r="AZ7" s="6">
        <f>$B7*Prices!AZ7</f>
        <v>33120.69</v>
      </c>
      <c r="BA7" s="6">
        <f>$B7*Prices!BA7</f>
        <v>32903.57</v>
      </c>
      <c r="BB7" s="6">
        <f>$B7*Prices!BB7</f>
        <v>33101.599999999999</v>
      </c>
      <c r="BC7" s="6">
        <f>$B7*Prices!BC7</f>
        <v>33353.68</v>
      </c>
      <c r="BD7" s="6">
        <f>$B7*Prices!BD7</f>
        <v>34028.959999999999</v>
      </c>
      <c r="BE7" s="6">
        <f>$B7*Prices!BE7</f>
        <v>34091.75</v>
      </c>
      <c r="BF7" s="6">
        <f>$B7*Prices!BF7</f>
        <v>34135.910000000003</v>
      </c>
      <c r="BG7" s="6">
        <f>$B7*Prices!BG7</f>
        <v>34147.870000000003</v>
      </c>
      <c r="BH7" s="6">
        <f>$B7*Prices!BH7</f>
        <v>33721.910000000003</v>
      </c>
      <c r="BI7" s="6">
        <f>$B7*Prices!BI7</f>
        <v>32929.79</v>
      </c>
      <c r="BJ7" s="6">
        <f>$B7*Prices!BJ7</f>
        <v>33361.5</v>
      </c>
      <c r="BK7" s="6">
        <f>$B7*Prices!BK7</f>
        <v>33504.1</v>
      </c>
      <c r="BL7" s="6">
        <f>$B7*Prices!BL7</f>
        <v>33447.75</v>
      </c>
      <c r="BM7" s="6">
        <f>$B7*Prices!BM7</f>
        <v>32953.94</v>
      </c>
      <c r="BN7" s="6">
        <f>$B7*Prices!BN7</f>
        <v>34099.799999999996</v>
      </c>
      <c r="BO7" s="6">
        <f>$B7*Prices!BO7</f>
        <v>33244.43</v>
      </c>
      <c r="BP7" s="6">
        <f>$B7*Prices!BP7</f>
        <v>33259.15</v>
      </c>
      <c r="BQ7" s="6">
        <f>$B7*Prices!BQ7</f>
        <v>33947.31</v>
      </c>
      <c r="BR7" s="6">
        <f>$B7*Prices!BR7</f>
        <v>34019.53</v>
      </c>
      <c r="BS7" s="6">
        <f>$B7*Prices!BS7</f>
        <v>34699.18</v>
      </c>
      <c r="BT7" s="6">
        <f>$B7*Prices!BT7</f>
        <v>34731.379999999997</v>
      </c>
      <c r="BU7" s="6">
        <f>$B7*Prices!BU7</f>
        <v>34928.490000000005</v>
      </c>
      <c r="BV7" s="6">
        <f>$B7*Prices!BV7</f>
        <v>34807.97</v>
      </c>
      <c r="BW7" s="6">
        <f>$B7*Prices!BW7</f>
        <v>34930.79</v>
      </c>
      <c r="BX7" s="6">
        <f>$B7*Prices!BX7</f>
        <v>34947.120000000003</v>
      </c>
      <c r="BY7" s="6">
        <f>$B7*Prices!BY7</f>
        <v>35072.009999999995</v>
      </c>
      <c r="BZ7" s="6">
        <f>$B7*Prices!BZ7</f>
        <v>34890.769999999997</v>
      </c>
      <c r="CA7" s="6">
        <f>$B7*Prices!CA7</f>
        <v>34119.579103000004</v>
      </c>
      <c r="CB7" s="6">
        <f>$B7*Prices!CB7</f>
        <v>32656.779655000002</v>
      </c>
      <c r="CC7" s="6">
        <f>$B7*Prices!CC7</f>
        <v>31885.358758000002</v>
      </c>
      <c r="CD7" s="6">
        <f>$B7*Prices!CD7</f>
        <v>31980.809333000001</v>
      </c>
      <c r="CE7" s="6">
        <f>$B7*Prices!CE7</f>
        <v>30243.848873000003</v>
      </c>
      <c r="CF7" s="6">
        <f>$B7*Prices!CF7</f>
        <v>30802.75</v>
      </c>
      <c r="CG7" s="6">
        <f>$B7*Prices!CG7</f>
        <v>31885.358758000002</v>
      </c>
      <c r="CH7" s="6">
        <f>$B7*Prices!CH7</f>
        <v>30767.559333000001</v>
      </c>
      <c r="CI7" s="6">
        <f>$B7*Prices!CI7</f>
        <v>31776.799447999998</v>
      </c>
      <c r="CJ7" s="6">
        <f>$B7*Prices!CJ7</f>
        <v>30239.480230000001</v>
      </c>
      <c r="CK7" s="6">
        <f>$B7*Prices!CK7</f>
        <v>29802.019769999999</v>
      </c>
      <c r="CL7" s="6">
        <f>$B7*Prices!CL7</f>
        <v>27963.170897</v>
      </c>
      <c r="CM7" s="6">
        <f>$B7*Prices!CM7</f>
        <v>29328.911012</v>
      </c>
      <c r="CN7" s="6">
        <f>$B7*Prices!CN7</f>
        <v>27850.700552000002</v>
      </c>
      <c r="CO7" s="6">
        <f>$B7*Prices!CO7</f>
        <v>25565.651126999997</v>
      </c>
      <c r="CP7" s="6">
        <f>$B7*Prices!CP7</f>
        <v>27928.210459999998</v>
      </c>
      <c r="CQ7" s="6">
        <f>$B7*Prices!CQ7</f>
        <v>24679</v>
      </c>
      <c r="CR7" s="6">
        <f>$B7*Prices!CR7</f>
        <v>25715.381356999998</v>
      </c>
      <c r="CS7" s="6">
        <f>$B7*Prices!CS7</f>
        <v>25097.368643000002</v>
      </c>
      <c r="CT7" s="6">
        <f>$B7*Prices!CT7</f>
        <v>25568.411012</v>
      </c>
      <c r="CU7" s="6">
        <f>$B7*Prices!CU7</f>
        <v>24568.829103</v>
      </c>
      <c r="CV7" s="6">
        <f>$B7*Prices!CV7</f>
        <v>24244.990115000001</v>
      </c>
      <c r="CW7" s="6">
        <f>$B7*Prices!CW7</f>
        <v>25990.230230000001</v>
      </c>
      <c r="CX7" s="6">
        <f>$B7*Prices!CX7</f>
        <v>25337.259884999999</v>
      </c>
      <c r="CY7" s="6">
        <f>$B7*Prices!CY7</f>
        <v>26747.161012</v>
      </c>
      <c r="CZ7" s="6">
        <f>$B7*Prices!CZ7</f>
        <v>25535.980230000001</v>
      </c>
      <c r="DA7" s="6">
        <f>$B7*Prices!DA7</f>
        <v>26365.131356999998</v>
      </c>
      <c r="DB7" s="6">
        <f>$B7*Prices!DB7</f>
        <v>26724.848873000003</v>
      </c>
      <c r="DC7" s="6"/>
      <c r="DD7" s="6"/>
      <c r="DE7" s="6"/>
      <c r="DF7" s="6"/>
      <c r="DG7" s="6"/>
      <c r="DH7" s="6"/>
      <c r="DI7" s="6"/>
      <c r="DJ7" s="6"/>
      <c r="DL7">
        <f>B7+'Communication Services'!V122</f>
        <v>26</v>
      </c>
      <c r="DM7">
        <f>DL7*Prices!BM7</f>
        <v>37252.28</v>
      </c>
      <c r="DN7" s="12">
        <f t="shared" si="0"/>
        <v>0.34741792882014855</v>
      </c>
      <c r="DQ7" s="22">
        <f t="shared" si="1"/>
        <v>0.30722889825226768</v>
      </c>
      <c r="DR7" s="6">
        <f t="shared" si="2"/>
        <v>4001.5400000000045</v>
      </c>
      <c r="DS7" s="22">
        <f t="shared" si="3"/>
        <v>5.5528218432769894E-2</v>
      </c>
      <c r="DT7" s="23">
        <f t="shared" si="4"/>
        <v>72063.179999999818</v>
      </c>
    </row>
    <row r="8" spans="1:124">
      <c r="A8" s="3" t="s">
        <v>5</v>
      </c>
      <c r="B8">
        <v>115</v>
      </c>
      <c r="C8" s="6">
        <f>$B8*Prices!C8</f>
        <v>14940.8</v>
      </c>
      <c r="D8" s="6">
        <f>$B8*Prices!D8</f>
        <v>15266.25</v>
      </c>
      <c r="E8" s="6">
        <f>$B8*Prices!E8</f>
        <v>15285.8</v>
      </c>
      <c r="F8" s="6">
        <f>$B8*Prices!F8</f>
        <v>15116.749999999998</v>
      </c>
      <c r="G8" s="6">
        <f>$B8*Prices!G8</f>
        <v>15096.050000000001</v>
      </c>
      <c r="H8" s="6">
        <f>$B8*Prices!H8</f>
        <v>15290.400000000001</v>
      </c>
      <c r="I8" s="6">
        <f>$B8*Prices!I8</f>
        <v>15865.400000000001</v>
      </c>
      <c r="J8" s="6">
        <f>$B8*Prices!J8</f>
        <v>15725.1</v>
      </c>
      <c r="K8" s="6">
        <f>$B8*Prices!K8</f>
        <v>15936.7</v>
      </c>
      <c r="L8" s="6">
        <f>$B8*Prices!L8</f>
        <v>17102.8</v>
      </c>
      <c r="M8" s="6">
        <f>$B8*Prices!M8</f>
        <v>16922.25</v>
      </c>
      <c r="N8" s="6">
        <f>$B8*Prices!N8</f>
        <v>16637.05</v>
      </c>
      <c r="O8" s="6">
        <f>$B8*Prices!O8</f>
        <v>16979.75</v>
      </c>
      <c r="P8" s="6">
        <f>$B8*Prices!P8</f>
        <v>17063.7</v>
      </c>
      <c r="Q8" s="6">
        <f>$B8*Prices!Q8</f>
        <v>16896.95</v>
      </c>
      <c r="R8" s="6">
        <f>$B8*Prices!R8</f>
        <v>16893.5</v>
      </c>
      <c r="S8" s="6">
        <f>$B8*Prices!S8</f>
        <v>17053.349999999999</v>
      </c>
      <c r="T8" s="6">
        <f>$B8*Prices!T8</f>
        <v>17214.349999999999</v>
      </c>
      <c r="U8" s="6">
        <f>$B8*Prices!U8</f>
        <v>17438.599999999999</v>
      </c>
      <c r="V8" s="6">
        <f>$B8*Prices!V8</f>
        <v>17420.199999999997</v>
      </c>
      <c r="W8" s="6">
        <f>$B8*Prices!W8</f>
        <v>17431.7</v>
      </c>
      <c r="X8" s="6">
        <f>$B8*Prices!X8</f>
        <v>17321.3</v>
      </c>
      <c r="Y8" s="6">
        <f>$B8*Prices!Y8</f>
        <v>17086.7</v>
      </c>
      <c r="Z8" s="6">
        <f>$B8*Prices!Z8</f>
        <v>17052.2</v>
      </c>
      <c r="AA8" s="6">
        <f>$B8*Prices!AA8</f>
        <v>16955.599999999999</v>
      </c>
      <c r="AB8" s="6">
        <f>$B8*Prices!AB8</f>
        <v>16980.899999999998</v>
      </c>
      <c r="AC8" s="6">
        <f>$B8*Prices!AC8</f>
        <v>16814.150000000001</v>
      </c>
      <c r="AD8" s="6">
        <f>$B8*Prices!AD8</f>
        <v>16801.5</v>
      </c>
      <c r="AE8" s="6">
        <f>$B8*Prices!AE8</f>
        <v>16972.850000000002</v>
      </c>
      <c r="AF8" s="6">
        <f>$B8*Prices!AF8</f>
        <v>16992.399999999998</v>
      </c>
      <c r="AG8" s="6">
        <f>$B8*Prices!AG8</f>
        <v>16833.7</v>
      </c>
      <c r="AH8" s="6">
        <f>$B8*Prices!AH8</f>
        <v>17072.900000000001</v>
      </c>
      <c r="AI8" s="6">
        <f>$B8*Prices!AI8</f>
        <v>16988.949999999997</v>
      </c>
      <c r="AJ8" s="6">
        <f>$B8*Prices!AJ8</f>
        <v>16819.899999999998</v>
      </c>
      <c r="AK8" s="6">
        <f>$B8*Prices!AK8</f>
        <v>16807.25</v>
      </c>
      <c r="AL8" s="6">
        <f>$B8*Prices!AL8</f>
        <v>16891.2</v>
      </c>
      <c r="AM8" s="6">
        <f>$B8*Prices!AM8</f>
        <v>16638.2</v>
      </c>
      <c r="AN8" s="6">
        <f>$B8*Prices!AN8</f>
        <v>16708.349999999999</v>
      </c>
      <c r="AO8" s="6">
        <f>$B8*Prices!AO8</f>
        <v>16755.5</v>
      </c>
      <c r="AP8" s="6">
        <f>$B8*Prices!AP8</f>
        <v>16761.25</v>
      </c>
      <c r="AQ8" s="6">
        <f>$B8*Prices!AQ8</f>
        <v>16533.550000000003</v>
      </c>
      <c r="AR8" s="6">
        <f>$B8*Prices!AR8</f>
        <v>16632.45</v>
      </c>
      <c r="AS8" s="6">
        <f>$B8*Prices!AS8</f>
        <v>17043</v>
      </c>
      <c r="AT8" s="6">
        <f>$B8*Prices!AT8</f>
        <v>16847.5</v>
      </c>
      <c r="AU8" s="6">
        <f>$B8*Prices!AU8</f>
        <v>16749.75</v>
      </c>
      <c r="AV8" s="6">
        <f>$B8*Prices!AV8</f>
        <v>16755.5</v>
      </c>
      <c r="AW8" s="6">
        <f>$B8*Prices!AW8</f>
        <v>16721</v>
      </c>
      <c r="AX8" s="6">
        <f>$B8*Prices!AX8</f>
        <v>16655.45</v>
      </c>
      <c r="AY8" s="6">
        <f>$B8*Prices!AY8</f>
        <v>16631.3</v>
      </c>
      <c r="AZ8" s="6">
        <f>$B8*Prices!AZ8</f>
        <v>16546.2</v>
      </c>
      <c r="BA8" s="6">
        <f>$B8*Prices!BA8</f>
        <v>16698</v>
      </c>
      <c r="BB8" s="6">
        <f>$B8*Prices!BB8</f>
        <v>16596.8</v>
      </c>
      <c r="BC8" s="6">
        <f>$B8*Prices!BC8</f>
        <v>16688.8</v>
      </c>
      <c r="BD8" s="6">
        <f>$B8*Prices!BD8</f>
        <v>16597.95</v>
      </c>
      <c r="BE8" s="6">
        <f>$B8*Prices!BE8</f>
        <v>16509.400000000001</v>
      </c>
      <c r="BF8" s="6">
        <f>$B8*Prices!BF8</f>
        <v>16561.149999999998</v>
      </c>
      <c r="BG8" s="6">
        <f>$B8*Prices!BG8</f>
        <v>16352.999999999998</v>
      </c>
      <c r="BH8" s="6">
        <f>$B8*Prices!BH8</f>
        <v>16109.2</v>
      </c>
      <c r="BI8" s="6">
        <f>$B8*Prices!BI8</f>
        <v>15628.5</v>
      </c>
      <c r="BJ8" s="6">
        <f>$B8*Prices!BJ8</f>
        <v>15912.550000000001</v>
      </c>
      <c r="BK8" s="6">
        <f>$B8*Prices!BK8</f>
        <v>15646.9</v>
      </c>
      <c r="BL8" s="6">
        <f>$B8*Prices!BL8</f>
        <v>15848.15</v>
      </c>
      <c r="BM8" s="6">
        <f>$B8*Prices!BM8</f>
        <v>15905.65</v>
      </c>
      <c r="BN8" s="6">
        <f>$B8*Prices!BN8</f>
        <v>16251.8</v>
      </c>
      <c r="BO8" s="6">
        <f>$B8*Prices!BO8</f>
        <v>16643.949999999997</v>
      </c>
      <c r="BP8" s="6">
        <f>$B8*Prices!BP8</f>
        <v>16257.550000000001</v>
      </c>
      <c r="BQ8" s="6">
        <f>$B8*Prices!BQ8</f>
        <v>16410.5</v>
      </c>
      <c r="BR8" s="6">
        <f>$B8*Prices!BR8</f>
        <v>16217.300000000001</v>
      </c>
      <c r="BS8" s="6">
        <f>$B8*Prices!BS8</f>
        <v>16397.850000000002</v>
      </c>
      <c r="BT8" s="6">
        <f>$B8*Prices!BT8</f>
        <v>16216.15</v>
      </c>
      <c r="BU8" s="6">
        <f>$B8*Prices!BU8</f>
        <v>16312.75</v>
      </c>
      <c r="BV8" s="6">
        <f>$B8*Prices!BV8</f>
        <v>16203.5</v>
      </c>
      <c r="BW8" s="6">
        <f>$B8*Prices!BW8</f>
        <v>16047.099999999999</v>
      </c>
      <c r="BX8" s="6">
        <f>$B8*Prices!BX8</f>
        <v>16001.099999999999</v>
      </c>
      <c r="BY8" s="6">
        <f>$B8*Prices!BY8</f>
        <v>16249.500000000002</v>
      </c>
      <c r="BZ8" s="6">
        <f>$B8*Prices!BZ8</f>
        <v>16142.550000000001</v>
      </c>
      <c r="CA8" s="6">
        <f>$B8*Prices!CA8</f>
        <v>15981.550115</v>
      </c>
      <c r="CB8" s="6">
        <f>$B8*Prices!CB8</f>
        <v>15296.149425</v>
      </c>
      <c r="CC8" s="6">
        <f>$B8*Prices!CC8</f>
        <v>14741.85023</v>
      </c>
      <c r="CD8" s="6">
        <f>$B8*Prices!CD8</f>
        <v>14186.400115</v>
      </c>
      <c r="CE8" s="6">
        <f>$B8*Prices!CE8</f>
        <v>13574.600115000001</v>
      </c>
      <c r="CF8" s="6">
        <f>$B8*Prices!CF8</f>
        <v>13529.75023</v>
      </c>
      <c r="CG8" s="6">
        <f>$B8*Prices!CG8</f>
        <v>13797.700344999999</v>
      </c>
      <c r="CH8" s="6">
        <f>$B8*Prices!CH8</f>
        <v>13391.749655</v>
      </c>
      <c r="CI8" s="6">
        <f>$B8*Prices!CI8</f>
        <v>13705.7</v>
      </c>
      <c r="CJ8" s="6">
        <f>$B8*Prices!CJ8</f>
        <v>13107.700344999999</v>
      </c>
      <c r="CK8" s="6">
        <f>$B8*Prices!CK8</f>
        <v>13256.049655000001</v>
      </c>
      <c r="CL8" s="6">
        <f>$B8*Prices!CL8</f>
        <v>12000.24977</v>
      </c>
      <c r="CM8" s="6">
        <f>$B8*Prices!CM8</f>
        <v>12817.899884999999</v>
      </c>
      <c r="CN8" s="6">
        <f>$B8*Prices!CN8</f>
        <v>12133.650229999999</v>
      </c>
      <c r="CO8" s="6">
        <f>$B8*Prices!CO8</f>
        <v>10558.14977</v>
      </c>
      <c r="CP8" s="6">
        <f>$B8*Prices!CP8</f>
        <v>11789.799655000001</v>
      </c>
      <c r="CQ8" s="6">
        <f>$B8*Prices!CQ8</f>
        <v>10926.150229999999</v>
      </c>
      <c r="CR8" s="6">
        <f>$B8*Prices!CR8</f>
        <v>10755.949885</v>
      </c>
      <c r="CS8" s="6">
        <f>$B8*Prices!CS8</f>
        <v>10212.000345</v>
      </c>
      <c r="CT8" s="6">
        <f>$B8*Prices!CT8</f>
        <v>10916.95</v>
      </c>
      <c r="CU8" s="6">
        <f>$B8*Prices!CU8</f>
        <v>9887.7003449999993</v>
      </c>
      <c r="CV8" s="6">
        <f>$B8*Prices!CV8</f>
        <v>9862.4002299999993</v>
      </c>
      <c r="CW8" s="6">
        <f>$B8*Prices!CW8</f>
        <v>11283.800345</v>
      </c>
      <c r="CX8" s="6">
        <f>$B8*Prices!CX8</f>
        <v>11583.950344999999</v>
      </c>
      <c r="CY8" s="6">
        <f>$B8*Prices!CY8</f>
        <v>12116.400115</v>
      </c>
      <c r="CZ8" s="6">
        <f>$B8*Prices!CZ8</f>
        <v>11086.00023</v>
      </c>
      <c r="DA8" s="6">
        <f>$B8*Prices!DA8</f>
        <v>11477.000345</v>
      </c>
      <c r="DB8" s="6">
        <f>$B8*Prices!DB8</f>
        <v>11108.99977</v>
      </c>
      <c r="DC8" s="6"/>
      <c r="DD8" s="6"/>
      <c r="DE8" s="6"/>
      <c r="DF8" s="6"/>
      <c r="DG8" s="6"/>
      <c r="DH8" s="6"/>
      <c r="DI8" s="6"/>
      <c r="DJ8" s="6"/>
      <c r="DL8">
        <f>B8</f>
        <v>115</v>
      </c>
      <c r="DM8">
        <f>DL8*Prices!BM8</f>
        <v>15905.65</v>
      </c>
      <c r="DN8" s="12">
        <f t="shared" si="0"/>
        <v>0.14833744349441688</v>
      </c>
      <c r="DQ8" s="22">
        <f t="shared" si="1"/>
        <v>0.14828804463096618</v>
      </c>
      <c r="DR8" s="6">
        <f t="shared" si="2"/>
        <v>964.85000000000036</v>
      </c>
      <c r="DS8" s="22">
        <f t="shared" si="3"/>
        <v>1.338894564464131E-2</v>
      </c>
      <c r="DT8" s="23">
        <f t="shared" si="4"/>
        <v>72063.179999999818</v>
      </c>
    </row>
    <row r="9" spans="1:124">
      <c r="A9" s="3" t="s">
        <v>6</v>
      </c>
      <c r="B9">
        <v>267</v>
      </c>
      <c r="C9" s="6">
        <f>$B9*Prices!C9</f>
        <v>14960.01</v>
      </c>
      <c r="D9" s="6">
        <f>$B9*Prices!D9</f>
        <v>14903.94</v>
      </c>
      <c r="E9" s="6">
        <f>$B9*Prices!E9</f>
        <v>14874.57</v>
      </c>
      <c r="F9" s="6">
        <f>$B9*Prices!F9</f>
        <v>14829.18</v>
      </c>
      <c r="G9" s="6">
        <f>$B9*Prices!G9</f>
        <v>15048.119999999999</v>
      </c>
      <c r="H9" s="6">
        <f>$B9*Prices!H9</f>
        <v>14564.849999999999</v>
      </c>
      <c r="I9" s="6">
        <f>$B9*Prices!I9</f>
        <v>14498.099999999999</v>
      </c>
      <c r="J9" s="6">
        <f>$B9*Prices!J9</f>
        <v>14022.84</v>
      </c>
      <c r="K9" s="6">
        <f>$B9*Prices!K9</f>
        <v>13870.650000000001</v>
      </c>
      <c r="L9" s="6">
        <f>$B9*Prices!L9</f>
        <v>13972.109999999999</v>
      </c>
      <c r="M9" s="6">
        <f>$B9*Prices!M9</f>
        <v>14070.900000000001</v>
      </c>
      <c r="N9" s="6">
        <f>$B9*Prices!N9</f>
        <v>14268.48</v>
      </c>
      <c r="O9" s="6">
        <f>$B9*Prices!O9</f>
        <v>14078.91</v>
      </c>
      <c r="P9" s="6">
        <f>$B9*Prices!P9</f>
        <v>14225.76</v>
      </c>
      <c r="Q9" s="6">
        <f>$B9*Prices!Q9</f>
        <v>14440.695</v>
      </c>
      <c r="R9" s="6">
        <f>$B9*Prices!R9</f>
        <v>14335.23</v>
      </c>
      <c r="S9" s="6">
        <f>$B9*Prices!S9</f>
        <v>14161.68</v>
      </c>
      <c r="T9" s="6">
        <f>$B9*Prices!T9</f>
        <v>14345.91</v>
      </c>
      <c r="U9" s="6">
        <f>$B9*Prices!U9</f>
        <v>14463.390000000001</v>
      </c>
      <c r="V9" s="6">
        <f>$B9*Prices!V9</f>
        <v>14546.16</v>
      </c>
      <c r="W9" s="6">
        <f>$B9*Prices!W9</f>
        <v>14639.609999999999</v>
      </c>
      <c r="X9" s="6">
        <f>$B9*Prices!X9</f>
        <v>14479.41</v>
      </c>
      <c r="Y9" s="6">
        <f>$B9*Prices!Y9</f>
        <v>14575.53</v>
      </c>
      <c r="Z9" s="6">
        <f>$B9*Prices!Z9</f>
        <v>14385.960000000001</v>
      </c>
      <c r="AA9" s="6">
        <f>$B9*Prices!AA9</f>
        <v>14682.33</v>
      </c>
      <c r="AB9" s="6">
        <f>$B9*Prices!AB9</f>
        <v>14741.07</v>
      </c>
      <c r="AC9" s="6">
        <f>$B9*Prices!AC9</f>
        <v>14522.130000000001</v>
      </c>
      <c r="AD9" s="6">
        <f>$B9*Prices!AD9</f>
        <v>14935.98</v>
      </c>
      <c r="AE9" s="6">
        <f>$B9*Prices!AE9</f>
        <v>15080.16</v>
      </c>
      <c r="AF9" s="6">
        <f>$B9*Prices!AF9</f>
        <v>15635.52</v>
      </c>
      <c r="AG9" s="6">
        <f>$B9*Prices!AG9</f>
        <v>15659.55</v>
      </c>
      <c r="AH9" s="6">
        <f>$B9*Prices!AH9</f>
        <v>15648.869999999999</v>
      </c>
      <c r="AI9" s="6">
        <f>$B9*Prices!AI9</f>
        <v>15555.42</v>
      </c>
      <c r="AJ9" s="6">
        <f>$B9*Prices!AJ9</f>
        <v>15758.34</v>
      </c>
      <c r="AK9" s="6">
        <f>$B9*Prices!AK9</f>
        <v>15787.710000000001</v>
      </c>
      <c r="AL9" s="6">
        <f>$B9*Prices!AL9</f>
        <v>15811.74</v>
      </c>
      <c r="AM9" s="6">
        <f>$B9*Prices!AM9</f>
        <v>15723.630000000001</v>
      </c>
      <c r="AN9" s="6">
        <f>$B9*Prices!AN9</f>
        <v>15702.27</v>
      </c>
      <c r="AO9" s="6">
        <f>$B9*Prices!AO9</f>
        <v>15723.630000000001</v>
      </c>
      <c r="AP9" s="6">
        <f>$B9*Prices!AP9</f>
        <v>15802.395</v>
      </c>
      <c r="AQ9" s="6">
        <f>$B9*Prices!AQ9</f>
        <v>15720.960000000001</v>
      </c>
      <c r="AR9" s="6">
        <f>$B9*Prices!AR9</f>
        <v>15865.140000000001</v>
      </c>
      <c r="AS9" s="6">
        <f>$B9*Prices!AS9</f>
        <v>15659.55</v>
      </c>
      <c r="AT9" s="6">
        <f>$B9*Prices!AT9</f>
        <v>15664.890000000001</v>
      </c>
      <c r="AU9" s="6">
        <f>$B9*Prices!AU9</f>
        <v>15950.58</v>
      </c>
      <c r="AV9" s="6">
        <f>$B9*Prices!AV9</f>
        <v>16109.445</v>
      </c>
      <c r="AW9" s="6">
        <f>$B9*Prices!AW9</f>
        <v>15987.960000000001</v>
      </c>
      <c r="AX9" s="6">
        <f>$B9*Prices!AX9</f>
        <v>15843.78</v>
      </c>
      <c r="AY9" s="6">
        <f>$B9*Prices!AY9</f>
        <v>15739.650000000001</v>
      </c>
      <c r="AZ9" s="6">
        <f>$B9*Prices!AZ9</f>
        <v>15817.08</v>
      </c>
      <c r="BA9" s="6">
        <f>$B9*Prices!BA9</f>
        <v>16033.349999999999</v>
      </c>
      <c r="BB9" s="6">
        <f>$B9*Prices!BB9</f>
        <v>15923.880000000001</v>
      </c>
      <c r="BC9" s="6">
        <f>$B9*Prices!BC9</f>
        <v>16134.81</v>
      </c>
      <c r="BD9" s="6">
        <f>$B9*Prices!BD9</f>
        <v>16351.08</v>
      </c>
      <c r="BE9" s="6">
        <f>$B9*Prices!BE9</f>
        <v>16399.14</v>
      </c>
      <c r="BF9" s="6">
        <f>$B9*Prices!BF9</f>
        <v>16105.44</v>
      </c>
      <c r="BG9" s="6">
        <f>$B9*Prices!BG9</f>
        <v>16054.710000000001</v>
      </c>
      <c r="BH9" s="6">
        <f>$B9*Prices!BH9</f>
        <v>15859.8</v>
      </c>
      <c r="BI9" s="6">
        <f>$B9*Prices!BI9</f>
        <v>15571.44</v>
      </c>
      <c r="BJ9" s="6">
        <f>$B9*Prices!BJ9</f>
        <v>16028.01</v>
      </c>
      <c r="BK9" s="6">
        <f>$B9*Prices!BK9</f>
        <v>16126.8</v>
      </c>
      <c r="BL9" s="6">
        <f>$B9*Prices!BL9</f>
        <v>16257.630000000001</v>
      </c>
      <c r="BM9" s="6">
        <f>$B9*Prices!BM9</f>
        <v>15614.16</v>
      </c>
      <c r="BN9" s="6">
        <f>$B9*Prices!BN9</f>
        <v>15542.07</v>
      </c>
      <c r="BO9" s="6">
        <f>$B9*Prices!BO9</f>
        <v>15809.07</v>
      </c>
      <c r="BP9" s="6">
        <f>$B9*Prices!BP9</f>
        <v>15712.95</v>
      </c>
      <c r="BQ9" s="6">
        <f>$B9*Prices!BQ9</f>
        <v>16089.42</v>
      </c>
      <c r="BR9" s="6">
        <f>$B9*Prices!BR9</f>
        <v>16428.510000000002</v>
      </c>
      <c r="BS9" s="6">
        <f>$B9*Prices!BS9</f>
        <v>16455.21</v>
      </c>
      <c r="BT9" s="6">
        <f>$B9*Prices!BT9</f>
        <v>16337.73</v>
      </c>
      <c r="BU9" s="6">
        <f>$B9*Prices!BU9</f>
        <v>16767.599999999999</v>
      </c>
      <c r="BV9" s="6">
        <f>$B9*Prices!BV9</f>
        <v>16711.530000000002</v>
      </c>
      <c r="BW9" s="6">
        <f>$B9*Prices!BW9</f>
        <v>16959.84</v>
      </c>
      <c r="BX9" s="6">
        <f>$B9*Prices!BX9</f>
        <v>17018.580000000002</v>
      </c>
      <c r="BY9" s="6">
        <f>$B9*Prices!BY9</f>
        <v>17186.79</v>
      </c>
      <c r="BZ9" s="6">
        <f>$B9*Prices!BZ9</f>
        <v>17088</v>
      </c>
      <c r="CA9" s="6">
        <f>$B9*Prices!CA9</f>
        <v>16922.460266999999</v>
      </c>
      <c r="CB9" s="6">
        <f>$B9*Prices!CB9</f>
        <v>16636.770267</v>
      </c>
      <c r="CC9" s="6">
        <f>$B9*Prices!CC9</f>
        <v>15889.169466000001</v>
      </c>
      <c r="CD9" s="6">
        <f>$B9*Prices!CD9</f>
        <v>15851.789733</v>
      </c>
      <c r="CE9" s="6">
        <f>$B9*Prices!CE9</f>
        <v>15574.110533999999</v>
      </c>
      <c r="CF9" s="6">
        <f>$B9*Prices!CF9</f>
        <v>15520.710267</v>
      </c>
      <c r="CG9" s="6">
        <f>$B9*Prices!CG9</f>
        <v>16177.53</v>
      </c>
      <c r="CH9" s="6">
        <f>$B9*Prices!CH9</f>
        <v>15686.25</v>
      </c>
      <c r="CI9" s="6">
        <f>$B9*Prices!CI9</f>
        <v>16700.849732999999</v>
      </c>
      <c r="CJ9" s="6">
        <f>$B9*Prices!CJ9</f>
        <v>16425.84</v>
      </c>
      <c r="CK9" s="6">
        <f>$B9*Prices!CK9</f>
        <v>16011.990267000001</v>
      </c>
      <c r="CL9" s="6">
        <f>$B9*Prices!CL9</f>
        <v>15312.449466</v>
      </c>
      <c r="CM9" s="6">
        <f>$B9*Prices!CM9</f>
        <v>16209.569733</v>
      </c>
      <c r="CN9" s="6">
        <f>$B9*Prices!CN9</f>
        <v>15841.110533999999</v>
      </c>
      <c r="CO9" s="6">
        <f>$B9*Prices!CO9</f>
        <v>14567.520267</v>
      </c>
      <c r="CP9" s="6">
        <f>$B9*Prices!CP9</f>
        <v>15763.680267</v>
      </c>
      <c r="CQ9" s="6">
        <f>$B9*Prices!CQ9</f>
        <v>14086.919466000001</v>
      </c>
      <c r="CR9" s="6">
        <f>$B9*Prices!CR9</f>
        <v>14994.72</v>
      </c>
      <c r="CS9" s="6">
        <f>$B9*Prices!CS9</f>
        <v>14842.53</v>
      </c>
      <c r="CT9" s="6">
        <f>$B9*Prices!CT9</f>
        <v>14452.710267</v>
      </c>
      <c r="CU9" s="6">
        <f>$B9*Prices!CU9</f>
        <v>13897.349732999999</v>
      </c>
      <c r="CV9" s="6">
        <f>$B9*Prices!CV9</f>
        <v>15077.490267000001</v>
      </c>
      <c r="CW9" s="6">
        <f>$B9*Prices!CW9</f>
        <v>14532.81</v>
      </c>
      <c r="CX9" s="6">
        <f>$B9*Prices!CX9</f>
        <v>14116.289733</v>
      </c>
      <c r="CY9" s="6">
        <f>$B9*Prices!CY9</f>
        <v>15411.240267000001</v>
      </c>
      <c r="CZ9" s="6">
        <f>$B9*Prices!CZ9</f>
        <v>15208.319733</v>
      </c>
      <c r="DA9" s="6">
        <f>$B9*Prices!DA9</f>
        <v>15611.490267000001</v>
      </c>
      <c r="DB9" s="6">
        <f>$B9*Prices!DB9</f>
        <v>15881.16</v>
      </c>
      <c r="DC9" s="6"/>
      <c r="DD9" s="6"/>
      <c r="DE9" s="6"/>
      <c r="DF9" s="6"/>
      <c r="DG9" s="6"/>
      <c r="DH9" s="6"/>
      <c r="DI9" s="6"/>
      <c r="DJ9" s="6"/>
      <c r="DL9">
        <f>B9+'Communication Services'!V124</f>
        <v>306</v>
      </c>
      <c r="DM9">
        <f>DL9*Prices!BM9</f>
        <v>17894.879999999997</v>
      </c>
      <c r="DN9" s="12">
        <f t="shared" si="0"/>
        <v>0.16688917151071289</v>
      </c>
      <c r="DQ9" s="22">
        <f t="shared" si="1"/>
        <v>0.1455704894144563</v>
      </c>
      <c r="DR9" s="6">
        <f t="shared" si="2"/>
        <v>654.14999999999964</v>
      </c>
      <c r="DS9" s="22">
        <f t="shared" si="3"/>
        <v>9.0774512032358451E-3</v>
      </c>
      <c r="DT9" s="23">
        <f t="shared" si="4"/>
        <v>72063.179999999818</v>
      </c>
    </row>
    <row r="10" spans="1:124">
      <c r="A10" s="2" t="s">
        <v>7</v>
      </c>
      <c r="C10" s="6">
        <f>SUM(C11:C16)</f>
        <v>99984.04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>
        <f>SUM(BM11:BM16)</f>
        <v>107013.22</v>
      </c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>
        <f>SUM(BZ11:BZ16)</f>
        <v>112712.34</v>
      </c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</row>
    <row r="11" spans="1:124">
      <c r="A11" s="3" t="s">
        <v>8</v>
      </c>
      <c r="B11">
        <v>17</v>
      </c>
      <c r="C11" s="6">
        <f>$B11*Prices!C11</f>
        <v>30203.22</v>
      </c>
      <c r="D11" s="6">
        <f>$B11*Prices!D11</f>
        <v>30454.48</v>
      </c>
      <c r="E11" s="6">
        <f>$B11*Prices!E11</f>
        <v>30679.22</v>
      </c>
      <c r="F11" s="6">
        <f>$B11*Prices!F11</f>
        <v>30629.07</v>
      </c>
      <c r="G11" s="6">
        <f>$B11*Prices!G11</f>
        <v>30528.09</v>
      </c>
      <c r="H11" s="6">
        <f>$B11*Prices!H11</f>
        <v>30399.4</v>
      </c>
      <c r="I11" s="6">
        <f>$B11*Prices!I11</f>
        <v>30359.960000000003</v>
      </c>
      <c r="J11" s="6">
        <f>$B11*Prices!J11</f>
        <v>30118.050000000003</v>
      </c>
      <c r="K11" s="6">
        <f>$B11*Prices!K11</f>
        <v>30226</v>
      </c>
      <c r="L11" s="6">
        <f>$B11*Prices!L11</f>
        <v>29802.87</v>
      </c>
      <c r="M11" s="6">
        <f>$B11*Prices!M11</f>
        <v>29828.199999999997</v>
      </c>
      <c r="N11" s="6">
        <f>$B11*Prices!N11</f>
        <v>29571.33</v>
      </c>
      <c r="O11" s="6">
        <f>$B11*Prices!O11</f>
        <v>29793.01</v>
      </c>
      <c r="P11" s="6">
        <f>$B11*Prices!P11</f>
        <v>29797.43</v>
      </c>
      <c r="Q11" s="6">
        <f>$B11*Prices!Q11</f>
        <v>29674.01</v>
      </c>
      <c r="R11" s="6">
        <f>$B11*Prices!R11</f>
        <v>29490.07</v>
      </c>
      <c r="S11" s="6">
        <f>$B11*Prices!S11</f>
        <v>29677.24</v>
      </c>
      <c r="T11" s="6">
        <f>$B11*Prices!T11</f>
        <v>30155.279999999999</v>
      </c>
      <c r="U11" s="6">
        <f>$B11*Prices!U11</f>
        <v>30547.98</v>
      </c>
      <c r="V11" s="6">
        <f>$B11*Prices!V11</f>
        <v>30914.67</v>
      </c>
      <c r="W11" s="6">
        <f>$B11*Prices!W11</f>
        <v>30613.599999999999</v>
      </c>
      <c r="X11" s="6">
        <f>$B11*Prices!X11</f>
        <v>30287.199999999997</v>
      </c>
      <c r="Y11" s="6">
        <f>$B11*Prices!Y11</f>
        <v>30089.32</v>
      </c>
      <c r="Z11" s="6">
        <f>$B11*Prices!Z11</f>
        <v>29931.73</v>
      </c>
      <c r="AA11" s="6">
        <f>$B11*Prices!AA11</f>
        <v>29588.16</v>
      </c>
      <c r="AB11" s="6">
        <f>$B11*Prices!AB11</f>
        <v>29777.199999999997</v>
      </c>
      <c r="AC11" s="6">
        <f>$B11*Prices!AC11</f>
        <v>29741.67</v>
      </c>
      <c r="AD11" s="6">
        <f>$B11*Prices!AD11</f>
        <v>29566.57</v>
      </c>
      <c r="AE11" s="6">
        <f>$B11*Prices!AE11</f>
        <v>29728.240000000002</v>
      </c>
      <c r="AF11" s="6">
        <f>$B11*Prices!AF11</f>
        <v>29925.61</v>
      </c>
      <c r="AG11" s="6">
        <f>$B11*Prices!AG11</f>
        <v>29935.98</v>
      </c>
      <c r="AH11" s="6">
        <f>$B11*Prices!AH11</f>
        <v>30076.57</v>
      </c>
      <c r="AI11" s="6">
        <f>$B11*Prices!AI11</f>
        <v>30441.22</v>
      </c>
      <c r="AJ11" s="6">
        <f>$B11*Prices!AJ11</f>
        <v>30328.51</v>
      </c>
      <c r="AK11" s="6">
        <f>$B11*Prices!AK11</f>
        <v>30468.76</v>
      </c>
      <c r="AL11" s="6">
        <f>$B11*Prices!AL11</f>
        <v>30370.5</v>
      </c>
      <c r="AM11" s="6">
        <f>$B11*Prices!AM11</f>
        <v>30481</v>
      </c>
      <c r="AN11" s="6">
        <f>$B11*Prices!AN11</f>
        <v>30416.57</v>
      </c>
      <c r="AO11" s="6">
        <f>$B11*Prices!AO11</f>
        <v>31769.09</v>
      </c>
      <c r="AP11" s="6">
        <f>$B11*Prices!AP11</f>
        <v>31786.6</v>
      </c>
      <c r="AQ11" s="6">
        <f>$B11*Prices!AQ11</f>
        <v>31397.13</v>
      </c>
      <c r="AR11" s="6">
        <f>$B11*Prices!AR11</f>
        <v>31413.279999999999</v>
      </c>
      <c r="AS11" s="6">
        <f>$B11*Prices!AS11</f>
        <v>32266.17</v>
      </c>
      <c r="AT11" s="6">
        <f>$B11*Prices!AT11</f>
        <v>31874.49</v>
      </c>
      <c r="AU11" s="6">
        <f>$B11*Prices!AU11</f>
        <v>32348.960000000003</v>
      </c>
      <c r="AV11" s="6">
        <f>$B11*Prices!AV11</f>
        <v>32416.62</v>
      </c>
      <c r="AW11" s="6">
        <f>$B11*Prices!AW11</f>
        <v>32163.49</v>
      </c>
      <c r="AX11" s="6">
        <f>$B11*Prices!AX11</f>
        <v>32317.85</v>
      </c>
      <c r="AY11" s="6">
        <f>$B11*Prices!AY11</f>
        <v>32013.72</v>
      </c>
      <c r="AZ11" s="6">
        <f>$B11*Prices!AZ11</f>
        <v>32152.1</v>
      </c>
      <c r="BA11" s="6">
        <f>$B11*Prices!BA11</f>
        <v>31780.48</v>
      </c>
      <c r="BB11" s="6">
        <f>$B11*Prices!BB11</f>
        <v>31654.34</v>
      </c>
      <c r="BC11" s="6">
        <f>$B11*Prices!BC11</f>
        <v>31924.98</v>
      </c>
      <c r="BD11" s="6">
        <f>$B11*Prices!BD11</f>
        <v>31700.240000000002</v>
      </c>
      <c r="BE11" s="6">
        <f>$B11*Prices!BE11</f>
        <v>32164</v>
      </c>
      <c r="BF11" s="6">
        <f>$B11*Prices!BF11</f>
        <v>32086.82</v>
      </c>
      <c r="BG11" s="6">
        <f>$B11*Prices!BG11</f>
        <v>32037.86</v>
      </c>
      <c r="BH11" s="6">
        <f>$B11*Prices!BH11</f>
        <v>31647.88</v>
      </c>
      <c r="BI11" s="6">
        <f>$B11*Prices!BI11</f>
        <v>31081.78</v>
      </c>
      <c r="BJ11" s="6">
        <f>$B11*Prices!BJ11</f>
        <v>31505.25</v>
      </c>
      <c r="BK11" s="6">
        <f>$B11*Prices!BK11</f>
        <v>31586</v>
      </c>
      <c r="BL11" s="6">
        <f>$B11*Prices!BL11</f>
        <v>31801.56</v>
      </c>
      <c r="BM11" s="6">
        <f>$B11*Prices!BM11</f>
        <v>34148.239999999998</v>
      </c>
      <c r="BN11" s="6">
        <f>$B11*Prices!BN11</f>
        <v>34071.4</v>
      </c>
      <c r="BO11" s="6">
        <f>$B11*Prices!BO11</f>
        <v>34844.39</v>
      </c>
      <c r="BP11" s="6">
        <f>$B11*Prices!BP11</f>
        <v>34677.79</v>
      </c>
      <c r="BQ11" s="6">
        <f>$B11*Prices!BQ11</f>
        <v>34853.910000000003</v>
      </c>
      <c r="BR11" s="6">
        <f>$B11*Prices!BR11</f>
        <v>35347.760000000002</v>
      </c>
      <c r="BS11" s="6">
        <f>$B11*Prices!BS11</f>
        <v>36276.47</v>
      </c>
      <c r="BT11" s="6">
        <f>$B11*Prices!BT11</f>
        <v>36563.600000000006</v>
      </c>
      <c r="BU11" s="6">
        <f>$B11*Prices!BU11</f>
        <v>36720</v>
      </c>
      <c r="BV11" s="6">
        <f>$B11*Prices!BV11</f>
        <v>36547.79</v>
      </c>
      <c r="BW11" s="6">
        <f>$B11*Prices!BW11</f>
        <v>36292.79</v>
      </c>
      <c r="BX11" s="6">
        <f>$B11*Prices!BX11</f>
        <v>36646.39</v>
      </c>
      <c r="BY11" s="6">
        <f>$B11*Prices!BY11</f>
        <v>36893.74</v>
      </c>
      <c r="BZ11" s="6">
        <f>$B11*Prices!BZ11</f>
        <v>36602.699999999997</v>
      </c>
      <c r="CA11" s="6">
        <f>$B11*Prices!CA11</f>
        <v>35631.489506999998</v>
      </c>
      <c r="CB11" s="6">
        <f>$B11*Prices!CB11</f>
        <v>34157.930662999999</v>
      </c>
      <c r="CC11" s="6">
        <f>$B11*Prices!CC11</f>
        <v>33536.579830000002</v>
      </c>
      <c r="CD11" s="6">
        <f>$B11*Prices!CD11</f>
        <v>33653.029422</v>
      </c>
      <c r="CE11" s="6">
        <f>$B11*Prices!CE11</f>
        <v>32033.100833</v>
      </c>
      <c r="CF11" s="6">
        <f>$B11*Prices!CF11</f>
        <v>32023.75</v>
      </c>
      <c r="CG11" s="6">
        <f>$B11*Prices!CG11</f>
        <v>33217.149167000003</v>
      </c>
      <c r="CH11" s="6">
        <f>$B11*Prices!CH11</f>
        <v>32452.829830000002</v>
      </c>
      <c r="CI11" s="6">
        <f>$B11*Prices!CI11</f>
        <v>33589.109252000002</v>
      </c>
      <c r="CJ11" s="6">
        <f>$B11*Prices!CJ11</f>
        <v>32708.510493000002</v>
      </c>
      <c r="CK11" s="6">
        <f>$B11*Prices!CK11</f>
        <v>32318.529422</v>
      </c>
      <c r="CL11" s="6">
        <f>$B11*Prices!CL11</f>
        <v>30610.369745</v>
      </c>
      <c r="CM11" s="6">
        <f>$B11*Prices!CM11</f>
        <v>32160.939082000001</v>
      </c>
      <c r="CN11" s="6">
        <f>$B11*Prices!CN11</f>
        <v>30954.619745</v>
      </c>
      <c r="CO11" s="6">
        <f>$B11*Prices!CO11</f>
        <v>28502.369745</v>
      </c>
      <c r="CP11" s="6">
        <f>$B11*Prices!CP11</f>
        <v>30345</v>
      </c>
      <c r="CQ11" s="6">
        <f>$B11*Prices!CQ11</f>
        <v>28715.550407999999</v>
      </c>
      <c r="CR11" s="6">
        <f>$B11*Prices!CR11</f>
        <v>30733.279422</v>
      </c>
      <c r="CS11" s="6">
        <f>$B11*Prices!CS11</f>
        <v>31110</v>
      </c>
      <c r="CT11" s="6">
        <f>$B11*Prices!CT11</f>
        <v>31975.810917999999</v>
      </c>
      <c r="CU11" s="6">
        <f>$B11*Prices!CU11</f>
        <v>31383.529422</v>
      </c>
      <c r="CV11" s="6">
        <f>$B11*Prices!CV11</f>
        <v>32348.109252000002</v>
      </c>
      <c r="CW11" s="6">
        <f>$B11*Prices!CW11</f>
        <v>32981.699591999997</v>
      </c>
      <c r="CX11" s="6">
        <f>$B11*Prices!CX11</f>
        <v>32059.279422</v>
      </c>
      <c r="CY11" s="6">
        <f>$B11*Prices!CY11</f>
        <v>33243.329830000002</v>
      </c>
      <c r="CZ11" s="6">
        <f>$B11*Prices!CZ11</f>
        <v>32301.699592000001</v>
      </c>
      <c r="DA11" s="6">
        <f>$B11*Prices!DA11</f>
        <v>33387.149167000003</v>
      </c>
      <c r="DB11" s="6">
        <f>$B11*Prices!DB11</f>
        <v>33145.239506999998</v>
      </c>
      <c r="DC11" s="6"/>
      <c r="DD11" s="6"/>
      <c r="DE11" s="6"/>
      <c r="DF11" s="6"/>
      <c r="DG11" s="6"/>
      <c r="DH11" s="6"/>
      <c r="DI11" s="6"/>
      <c r="DJ11" s="6"/>
    </row>
    <row r="12" spans="1:124">
      <c r="A12" s="3" t="s">
        <v>9</v>
      </c>
      <c r="B12">
        <v>101</v>
      </c>
      <c r="C12" s="6">
        <f>$B12*Prices!C12</f>
        <v>19866.699999999997</v>
      </c>
      <c r="D12" s="6">
        <f>$B12*Prices!D12</f>
        <v>19587.939999999999</v>
      </c>
      <c r="E12" s="6">
        <f>$B12*Prices!E12</f>
        <v>19054.66</v>
      </c>
      <c r="F12" s="6">
        <f>$B12*Prices!F12</f>
        <v>19410.18</v>
      </c>
      <c r="G12" s="6">
        <f>$B12*Prices!G12</f>
        <v>19612.18</v>
      </c>
      <c r="H12" s="6">
        <f>$B12*Prices!H12</f>
        <v>19501.080000000002</v>
      </c>
      <c r="I12" s="6">
        <f>$B12*Prices!I12</f>
        <v>19554.61</v>
      </c>
      <c r="J12" s="6">
        <f>$B12*Prices!J12</f>
        <v>19456.64</v>
      </c>
      <c r="K12" s="6">
        <f>$B12*Prices!K12</f>
        <v>19521.28</v>
      </c>
      <c r="L12" s="6">
        <f>$B12*Prices!L12</f>
        <v>19695</v>
      </c>
      <c r="M12" s="6">
        <f>$B12*Prices!M12</f>
        <v>19594</v>
      </c>
      <c r="N12" s="6">
        <f>$B12*Prices!N12</f>
        <v>19590.97</v>
      </c>
      <c r="O12" s="6">
        <f>$B12*Prices!O12</f>
        <v>19622.28</v>
      </c>
      <c r="P12" s="6">
        <f>$B12*Prices!P12</f>
        <v>19537.439999999999</v>
      </c>
      <c r="Q12" s="6">
        <f>$B12*Prices!Q12</f>
        <v>19607.13</v>
      </c>
      <c r="R12" s="6">
        <f>$B12*Prices!R12</f>
        <v>19427.349999999999</v>
      </c>
      <c r="S12" s="6">
        <f>$B12*Prices!S12</f>
        <v>19507.14</v>
      </c>
      <c r="T12" s="6">
        <f>$B12*Prices!T12</f>
        <v>19380.89</v>
      </c>
      <c r="U12" s="6">
        <f>$B12*Prices!U12</f>
        <v>19595.009999999998</v>
      </c>
      <c r="V12" s="6">
        <f>$B12*Prices!V12</f>
        <v>19826.300000000003</v>
      </c>
      <c r="W12" s="6">
        <f>$B12*Prices!W12</f>
        <v>19642.48</v>
      </c>
      <c r="X12" s="6">
        <f>$B12*Prices!X12</f>
        <v>19713.18</v>
      </c>
      <c r="Y12" s="6">
        <f>$B12*Prices!Y12</f>
        <v>19505.12</v>
      </c>
      <c r="Z12" s="6">
        <f>$B12*Prices!Z12</f>
        <v>19625.310000000001</v>
      </c>
      <c r="AA12" s="6">
        <f>$B12*Prices!AA12</f>
        <v>19615.21</v>
      </c>
      <c r="AB12" s="6">
        <f>$B12*Prices!AB12</f>
        <v>19730.349999999999</v>
      </c>
      <c r="AC12" s="6">
        <f>$B12*Prices!AC12</f>
        <v>19662.68</v>
      </c>
      <c r="AD12" s="6">
        <f>$B12*Prices!AD12</f>
        <v>19689.949999999997</v>
      </c>
      <c r="AE12" s="6">
        <f>$B12*Prices!AE12</f>
        <v>19666.72</v>
      </c>
      <c r="AF12" s="6">
        <f>$B12*Prices!AF12</f>
        <v>19827.310000000001</v>
      </c>
      <c r="AG12" s="6">
        <f>$B12*Prices!AG12</f>
        <v>19909.12</v>
      </c>
      <c r="AH12" s="6">
        <f>$B12*Prices!AH12</f>
        <v>19985.88</v>
      </c>
      <c r="AI12" s="6">
        <f>$B12*Prices!AI12</f>
        <v>19848.52</v>
      </c>
      <c r="AJ12" s="6">
        <f>$B12*Prices!AJ12</f>
        <v>19758.63</v>
      </c>
      <c r="AK12" s="6">
        <f>$B12*Prices!AK12</f>
        <v>19903.060000000001</v>
      </c>
      <c r="AL12" s="6">
        <f>$B12*Prices!AL12</f>
        <v>19911.14</v>
      </c>
      <c r="AM12" s="6">
        <f>$B12*Prices!AM12</f>
        <v>19816.199999999997</v>
      </c>
      <c r="AN12" s="6">
        <f>$B12*Prices!AN12</f>
        <v>19863.669999999998</v>
      </c>
      <c r="AO12" s="6">
        <f>$B12*Prices!AO12</f>
        <v>19903.060000000001</v>
      </c>
      <c r="AP12" s="6">
        <f>$B12*Prices!AP12</f>
        <v>20015.169999999998</v>
      </c>
      <c r="AQ12" s="6">
        <f>$B12*Prices!AQ12</f>
        <v>19887.91</v>
      </c>
      <c r="AR12" s="6">
        <f>$B12*Prices!AR12</f>
        <v>19958.61</v>
      </c>
      <c r="AS12" s="6">
        <f>$B12*Prices!AS12</f>
        <v>20279.79</v>
      </c>
      <c r="AT12" s="6">
        <f>$B12*Prices!AT12</f>
        <v>20208.080000000002</v>
      </c>
      <c r="AU12" s="6">
        <f>$B12*Prices!AU12</f>
        <v>20435.330000000002</v>
      </c>
      <c r="AV12" s="6">
        <f>$B12*Prices!AV12</f>
        <v>20465.63</v>
      </c>
      <c r="AW12" s="6">
        <f>$B12*Prices!AW12</f>
        <v>20796.91</v>
      </c>
      <c r="AX12" s="6">
        <f>$B12*Prices!AX12</f>
        <v>21043.35</v>
      </c>
      <c r="AY12" s="6">
        <f>$B12*Prices!AY12</f>
        <v>20934.27</v>
      </c>
      <c r="AZ12" s="6">
        <f>$B12*Prices!AZ12</f>
        <v>20857.509999999998</v>
      </c>
      <c r="BA12" s="6">
        <f>$B12*Prices!BA12</f>
        <v>20939.32</v>
      </c>
      <c r="BB12" s="6">
        <f>$B12*Prices!BB12</f>
        <v>21186.77</v>
      </c>
      <c r="BC12" s="6">
        <f>$B12*Prices!BC12</f>
        <v>21295.85</v>
      </c>
      <c r="BD12" s="6">
        <f>$B12*Prices!BD12</f>
        <v>21409.98</v>
      </c>
      <c r="BE12" s="6">
        <f>$B12*Prices!BE12</f>
        <v>21327.16</v>
      </c>
      <c r="BF12" s="6">
        <f>$B12*Prices!BF12</f>
        <v>21355.439999999999</v>
      </c>
      <c r="BG12" s="6">
        <f>$B12*Prices!BG12</f>
        <v>21555.42</v>
      </c>
      <c r="BH12" s="6">
        <f>$B12*Prices!BH12</f>
        <v>21335.24</v>
      </c>
      <c r="BI12" s="6">
        <f>$B12*Prices!BI12</f>
        <v>21143.34</v>
      </c>
      <c r="BJ12" s="6">
        <f>$B12*Prices!BJ12</f>
        <v>21249.39</v>
      </c>
      <c r="BK12" s="6">
        <f>$B12*Prices!BK12</f>
        <v>21658.44</v>
      </c>
      <c r="BL12" s="6">
        <f>$B12*Prices!BL12</f>
        <v>21834.18</v>
      </c>
      <c r="BM12" s="6">
        <f>$B12*Prices!BM12</f>
        <v>21610.97</v>
      </c>
      <c r="BN12" s="6">
        <f>$B12*Prices!BN12</f>
        <v>21733.18</v>
      </c>
      <c r="BO12" s="6">
        <f>$B12*Prices!BO12</f>
        <v>21676.62</v>
      </c>
      <c r="BP12" s="6">
        <f>$B12*Prices!BP12</f>
        <v>21651.37</v>
      </c>
      <c r="BQ12" s="6">
        <f>$B12*Prices!BQ12</f>
        <v>21499.87</v>
      </c>
      <c r="BR12" s="6">
        <f>$B12*Prices!BR12</f>
        <v>21372.61</v>
      </c>
      <c r="BS12" s="6">
        <f>$B12*Prices!BS12</f>
        <v>21534.21</v>
      </c>
      <c r="BT12" s="6">
        <f>$B12*Prices!BT12</f>
        <v>21788.73</v>
      </c>
      <c r="BU12" s="6">
        <f>$B12*Prices!BU12</f>
        <v>21963.46</v>
      </c>
      <c r="BV12" s="6">
        <f>$B12*Prices!BV12</f>
        <v>21959.42</v>
      </c>
      <c r="BW12" s="6">
        <f>$B12*Prices!BW12</f>
        <v>21926.09</v>
      </c>
      <c r="BX12" s="6">
        <f>$B12*Prices!BX12</f>
        <v>21831.15</v>
      </c>
      <c r="BY12" s="6">
        <f>$B12*Prices!BY12</f>
        <v>21778.63</v>
      </c>
      <c r="BZ12" s="6">
        <f>$B12*Prices!BZ12</f>
        <v>21723.08</v>
      </c>
      <c r="CA12" s="6">
        <f>$B12*Prices!CA12</f>
        <v>21667.278711999999</v>
      </c>
      <c r="CB12" s="6">
        <f>$B12*Prices!CB12</f>
        <v>21431.406039000001</v>
      </c>
      <c r="CC12" s="6">
        <f>$B12*Prices!CC12</f>
        <v>21288.878475000001</v>
      </c>
      <c r="CD12" s="6">
        <f>$B12*Prices!CD12</f>
        <v>21088.134511</v>
      </c>
      <c r="CE12" s="6">
        <f>$B12*Prices!CE12</f>
        <v>20174.75</v>
      </c>
      <c r="CF12" s="6">
        <f>$B12*Prices!CF12</f>
        <v>19611.169797999999</v>
      </c>
      <c r="CG12" s="6">
        <f>$B12*Prices!CG12</f>
        <v>20457.550303</v>
      </c>
      <c r="CH12" s="6">
        <f>$B12*Prices!CH12</f>
        <v>20150.509495000002</v>
      </c>
      <c r="CI12" s="6">
        <f>$B12*Prices!CI12</f>
        <v>20909.020403999999</v>
      </c>
      <c r="CJ12" s="6">
        <f>$B12*Prices!CJ12</f>
        <v>20030.320706999999</v>
      </c>
      <c r="CK12" s="6">
        <f>$B12*Prices!CK12</f>
        <v>20084.860101000002</v>
      </c>
      <c r="CL12" s="6">
        <f>$B12*Prices!CL12</f>
        <v>18872.860101000002</v>
      </c>
      <c r="CM12" s="6">
        <f>$B12*Prices!CM12</f>
        <v>20185.860101000002</v>
      </c>
      <c r="CN12" s="6">
        <f>$B12*Prices!CN12</f>
        <v>19013.25</v>
      </c>
      <c r="CO12" s="6">
        <f>$B12*Prices!CO12</f>
        <v>17183.130505000001</v>
      </c>
      <c r="CP12" s="6">
        <f>$B12*Prices!CP12</f>
        <v>17890.130505000001</v>
      </c>
      <c r="CQ12" s="6">
        <f>$B12*Prices!CQ12</f>
        <v>15050.009495</v>
      </c>
      <c r="CR12" s="6">
        <f>$B12*Prices!CR12</f>
        <v>14909.619494999999</v>
      </c>
      <c r="CS12" s="6">
        <f>$B12*Prices!CS12</f>
        <v>13867.300303</v>
      </c>
      <c r="CT12" s="6">
        <f>$B12*Prices!CT12</f>
        <v>15099.5</v>
      </c>
      <c r="CU12" s="6">
        <f>$B12*Prices!CU12</f>
        <v>14997.490505</v>
      </c>
      <c r="CV12" s="6">
        <f>$B12*Prices!CV12</f>
        <v>13847.100606</v>
      </c>
      <c r="CW12" s="6">
        <f>$B12*Prices!CW12</f>
        <v>16356.949697</v>
      </c>
      <c r="CX12" s="6">
        <f>$B12*Prices!CX12</f>
        <v>16460.979596000001</v>
      </c>
      <c r="CY12" s="6">
        <f>$B12*Prices!CY12</f>
        <v>16902.350606</v>
      </c>
      <c r="CZ12" s="6">
        <f>$B12*Prices!CZ12</f>
        <v>16565.009495000002</v>
      </c>
      <c r="DA12" s="6">
        <f>$B12*Prices!DA12</f>
        <v>16981.130505000001</v>
      </c>
      <c r="DB12" s="6">
        <f>$B12*Prices!DB12</f>
        <v>16700.350606</v>
      </c>
      <c r="DC12" s="6"/>
      <c r="DD12" s="6"/>
      <c r="DE12" s="6"/>
      <c r="DF12" s="6"/>
      <c r="DG12" s="6"/>
      <c r="DH12" s="6"/>
      <c r="DI12" s="6"/>
      <c r="DJ12" s="6"/>
    </row>
    <row r="13" spans="1:124">
      <c r="A13" s="3" t="s">
        <v>10</v>
      </c>
      <c r="B13">
        <v>170</v>
      </c>
      <c r="C13" s="6">
        <f>$B13*Prices!C13</f>
        <v>15223.5</v>
      </c>
      <c r="D13" s="6">
        <f>$B13*Prices!D13</f>
        <v>15160.6</v>
      </c>
      <c r="E13" s="6">
        <f>$B13*Prices!E13</f>
        <v>15276.2</v>
      </c>
      <c r="F13" s="6">
        <f>$B13*Prices!F13</f>
        <v>15279.599999999999</v>
      </c>
      <c r="G13" s="6">
        <f>$B13*Prices!G13</f>
        <v>15211.6</v>
      </c>
      <c r="H13" s="6">
        <f>$B13*Prices!H13</f>
        <v>15368.000000000002</v>
      </c>
      <c r="I13" s="6">
        <f>$B13*Prices!I13</f>
        <v>15267.7</v>
      </c>
      <c r="J13" s="6">
        <f>$B13*Prices!J13</f>
        <v>15308.5</v>
      </c>
      <c r="K13" s="6">
        <f>$B13*Prices!K13</f>
        <v>15215</v>
      </c>
      <c r="L13" s="6">
        <f>$B13*Prices!L13</f>
        <v>15519.300000000001</v>
      </c>
      <c r="M13" s="6">
        <f>$B13*Prices!M13</f>
        <v>15515.9</v>
      </c>
      <c r="N13" s="6">
        <f>$B13*Prices!N13</f>
        <v>15816.800000000001</v>
      </c>
      <c r="O13" s="6">
        <f>$B13*Prices!O13</f>
        <v>16010.6</v>
      </c>
      <c r="P13" s="6">
        <f>$B13*Prices!P13</f>
        <v>15913.7</v>
      </c>
      <c r="Q13" s="6">
        <f>$B13*Prices!Q13</f>
        <v>15818.5</v>
      </c>
      <c r="R13" s="6">
        <f>$B13*Prices!R13</f>
        <v>15667.199999999999</v>
      </c>
      <c r="S13" s="6">
        <f>$B13*Prices!S13</f>
        <v>15867.800000000001</v>
      </c>
      <c r="T13" s="6">
        <f>$B13*Prices!T13</f>
        <v>15793.000000000002</v>
      </c>
      <c r="U13" s="6">
        <f>$B13*Prices!U13</f>
        <v>15866.1</v>
      </c>
      <c r="V13" s="6">
        <f>$B13*Prices!V13</f>
        <v>16003.8</v>
      </c>
      <c r="W13" s="6">
        <f>$B13*Prices!W13</f>
        <v>15893.3</v>
      </c>
      <c r="X13" s="6">
        <f>$B13*Prices!X13</f>
        <v>15905.2</v>
      </c>
      <c r="Y13" s="6">
        <f>$B13*Prices!Y13</f>
        <v>15718.199999999999</v>
      </c>
      <c r="Z13" s="6">
        <f>$B13*Prices!Z13</f>
        <v>15932.4</v>
      </c>
      <c r="AA13" s="6">
        <f>$B13*Prices!AA13</f>
        <v>16284.300000000001</v>
      </c>
      <c r="AB13" s="6">
        <f>$B13*Prices!AB13</f>
        <v>16490</v>
      </c>
      <c r="AC13" s="6">
        <f>$B13*Prices!AC13</f>
        <v>16427.099999999999</v>
      </c>
      <c r="AD13" s="6">
        <f>$B13*Prices!AD13</f>
        <v>16491.7</v>
      </c>
      <c r="AE13" s="6">
        <f>$B13*Prices!AE13</f>
        <v>16520.600000000002</v>
      </c>
      <c r="AF13" s="6">
        <f>$B13*Prices!AF13</f>
        <v>16612.400000000001</v>
      </c>
      <c r="AG13" s="6">
        <f>$B13*Prices!AG13</f>
        <v>16620.899999999998</v>
      </c>
      <c r="AH13" s="6">
        <f>$B13*Prices!AH13</f>
        <v>16797.7</v>
      </c>
      <c r="AI13" s="6">
        <f>$B13*Prices!AI13</f>
        <v>16940.5</v>
      </c>
      <c r="AJ13" s="6">
        <f>$B13*Prices!AJ13</f>
        <v>17096.899999999998</v>
      </c>
      <c r="AK13" s="6">
        <f>$B13*Prices!AK13</f>
        <v>17195.5</v>
      </c>
      <c r="AL13" s="6">
        <f>$B13*Prices!AL13</f>
        <v>16993.2</v>
      </c>
      <c r="AM13" s="6">
        <f>$B13*Prices!AM13</f>
        <v>17006.8</v>
      </c>
      <c r="AN13" s="6">
        <f>$B13*Prices!AN13</f>
        <v>17023.8</v>
      </c>
      <c r="AO13" s="6">
        <f>$B13*Prices!AO13</f>
        <v>17120.7</v>
      </c>
      <c r="AP13" s="6">
        <f>$B13*Prices!AP13</f>
        <v>17266.899999999998</v>
      </c>
      <c r="AQ13" s="6">
        <f>$B13*Prices!AQ13</f>
        <v>17136</v>
      </c>
      <c r="AR13" s="6">
        <f>$B13*Prices!AR13</f>
        <v>17222.7</v>
      </c>
      <c r="AS13" s="6">
        <f>$B13*Prices!AS13</f>
        <v>17374</v>
      </c>
      <c r="AT13" s="6">
        <f>$B13*Prices!AT13</f>
        <v>17326.400000000001</v>
      </c>
      <c r="AU13" s="6">
        <f>$B13*Prices!AU13</f>
        <v>17311.099999999999</v>
      </c>
      <c r="AV13" s="6">
        <f>$B13*Prices!AV13</f>
        <v>17302.599999999999</v>
      </c>
      <c r="AW13" s="6">
        <f>$B13*Prices!AW13</f>
        <v>17263.5</v>
      </c>
      <c r="AX13" s="6">
        <f>$B13*Prices!AX13</f>
        <v>17251.600000000002</v>
      </c>
      <c r="AY13" s="6">
        <f>$B13*Prices!AY13</f>
        <v>17153</v>
      </c>
      <c r="AZ13" s="6">
        <f>$B13*Prices!AZ13</f>
        <v>17367.2</v>
      </c>
      <c r="BA13" s="6">
        <f>$B13*Prices!BA13</f>
        <v>17496.400000000001</v>
      </c>
      <c r="BB13" s="6">
        <f>$B13*Prices!BB13</f>
        <v>17474.3</v>
      </c>
      <c r="BC13" s="6">
        <f>$B13*Prices!BC13</f>
        <v>17572.900000000001</v>
      </c>
      <c r="BD13" s="6">
        <f>$B13*Prices!BD13</f>
        <v>17770.099999999999</v>
      </c>
      <c r="BE13" s="6">
        <f>$B13*Prices!BE13</f>
        <v>17778.599999999999</v>
      </c>
      <c r="BF13" s="6">
        <f>$B13*Prices!BF13</f>
        <v>17763.3</v>
      </c>
      <c r="BG13" s="6">
        <f>$B13*Prices!BG13</f>
        <v>17513.399999999998</v>
      </c>
      <c r="BH13" s="6">
        <f>$B13*Prices!BH13</f>
        <v>17345.099999999999</v>
      </c>
      <c r="BI13" s="6">
        <f>$B13*Prices!BI13</f>
        <v>17040.8</v>
      </c>
      <c r="BJ13" s="6">
        <f>$B13*Prices!BJ13</f>
        <v>17069.7</v>
      </c>
      <c r="BK13" s="6">
        <f>$B13*Prices!BK13</f>
        <v>16972.8</v>
      </c>
      <c r="BL13" s="6">
        <f>$B13*Prices!BL13</f>
        <v>16692.3</v>
      </c>
      <c r="BM13" s="6">
        <f>$B13*Prices!BM13</f>
        <v>16371</v>
      </c>
      <c r="BN13" s="6">
        <f>$B13*Prices!BN13</f>
        <v>16875.899999999998</v>
      </c>
      <c r="BO13" s="6">
        <f>$B13*Prices!BO13</f>
        <v>17234.599999999999</v>
      </c>
      <c r="BP13" s="6">
        <f>$B13*Prices!BP13</f>
        <v>17091.8</v>
      </c>
      <c r="BQ13" s="6">
        <f>$B13*Prices!BQ13</f>
        <v>17045.899999999998</v>
      </c>
      <c r="BR13" s="6">
        <f>$B13*Prices!BR13</f>
        <v>16904.8</v>
      </c>
      <c r="BS13" s="6">
        <f>$B13*Prices!BS13</f>
        <v>17003.399999999998</v>
      </c>
      <c r="BT13" s="6">
        <f>$B13*Prices!BT13</f>
        <v>17003.399999999998</v>
      </c>
      <c r="BU13" s="6">
        <f>$B13*Prices!BU13</f>
        <v>17510</v>
      </c>
      <c r="BV13" s="6">
        <f>$B13*Prices!BV13</f>
        <v>17572.900000000001</v>
      </c>
      <c r="BW13" s="6">
        <f>$B13*Prices!BW13</f>
        <v>17601.8</v>
      </c>
      <c r="BX13" s="6">
        <f>$B13*Prices!BX13</f>
        <v>17340</v>
      </c>
      <c r="BY13" s="6">
        <f>$B13*Prices!BY13</f>
        <v>17418.2</v>
      </c>
      <c r="BZ13" s="6">
        <f>$B13*Prices!BZ13</f>
        <v>17430.099999999999</v>
      </c>
      <c r="CA13" s="6">
        <f>$B13*Prices!CA13</f>
        <v>16995.346420000002</v>
      </c>
      <c r="CB13" s="6">
        <f>$B13*Prices!CB13</f>
        <v>16259.588460000001</v>
      </c>
      <c r="CC13" s="6">
        <f>$B13*Prices!CC13</f>
        <v>15749.304389999999</v>
      </c>
      <c r="CD13" s="6">
        <f>$B13*Prices!CD13</f>
        <v>15596.727009999999</v>
      </c>
      <c r="CE13" s="6">
        <f>$B13*Prices!CE13</f>
        <v>15011.85</v>
      </c>
      <c r="CF13" s="6">
        <f>$B13*Prices!CF13</f>
        <v>15194.599490000001</v>
      </c>
      <c r="CG13" s="6">
        <f>$B13*Prices!CG13</f>
        <v>15755.6</v>
      </c>
      <c r="CH13" s="6">
        <f>$B13*Prices!CH13</f>
        <v>15458.1</v>
      </c>
      <c r="CI13" s="6">
        <f>$B13*Prices!CI13</f>
        <v>15944.30017</v>
      </c>
      <c r="CJ13" s="6">
        <f>$B13*Prices!CJ13</f>
        <v>15398.600339999999</v>
      </c>
      <c r="CK13" s="6">
        <f>$B13*Prices!CK13</f>
        <v>15021.20017</v>
      </c>
      <c r="CL13" s="6">
        <f>$B13*Prices!CL13</f>
        <v>14298.70017</v>
      </c>
      <c r="CM13" s="6">
        <f>$B13*Prices!CM13</f>
        <v>15011.00051</v>
      </c>
      <c r="CN13" s="6">
        <f>$B13*Prices!CN13</f>
        <v>14280</v>
      </c>
      <c r="CO13" s="6">
        <f>$B13*Prices!CO13</f>
        <v>12613.99949</v>
      </c>
      <c r="CP13" s="6">
        <f>$B13*Prices!CP13</f>
        <v>12848.600339999999</v>
      </c>
      <c r="CQ13" s="6">
        <f>$B13*Prices!CQ13</f>
        <v>11354.30017</v>
      </c>
      <c r="CR13" s="6">
        <f>$B13*Prices!CR13</f>
        <v>11872.79932</v>
      </c>
      <c r="CS13" s="6">
        <f>$B13*Prices!CS13</f>
        <v>11566.80017</v>
      </c>
      <c r="CT13" s="6">
        <f>$B13*Prices!CT13</f>
        <v>11957.79932</v>
      </c>
      <c r="CU13" s="6">
        <f>$B13*Prices!CU13</f>
        <v>11466.49949</v>
      </c>
      <c r="CV13" s="6">
        <f>$B13*Prices!CV13</f>
        <v>10675.999830000001</v>
      </c>
      <c r="CW13" s="6">
        <f>$B13*Prices!CW13</f>
        <v>12296.100339999999</v>
      </c>
      <c r="CX13" s="6">
        <f>$B13*Prices!CX13</f>
        <v>13431.700339999999</v>
      </c>
      <c r="CY13" s="6">
        <f>$B13*Prices!CY13</f>
        <v>14331.00051</v>
      </c>
      <c r="CZ13" s="6">
        <f>$B13*Prices!CZ13</f>
        <v>14149.10051</v>
      </c>
      <c r="DA13" s="6">
        <f>$B13*Prices!DA13</f>
        <v>14514.599490000001</v>
      </c>
      <c r="DB13" s="6">
        <f>$B13*Prices!DB13</f>
        <v>14065.799660000001</v>
      </c>
      <c r="DC13" s="6"/>
      <c r="DD13" s="6"/>
      <c r="DE13" s="6"/>
      <c r="DF13" s="6"/>
      <c r="DG13" s="6"/>
      <c r="DH13" s="6"/>
      <c r="DI13" s="6"/>
      <c r="DJ13" s="6"/>
    </row>
    <row r="14" spans="1:124">
      <c r="A14" s="3" t="s">
        <v>11</v>
      </c>
      <c r="B14">
        <v>63</v>
      </c>
      <c r="C14" s="6">
        <f>$B14*Prices!C14</f>
        <v>14778.54</v>
      </c>
      <c r="D14" s="6">
        <f>$B14*Prices!D14</f>
        <v>14952.42</v>
      </c>
      <c r="E14" s="6">
        <f>$B14*Prices!E14</f>
        <v>14799.96</v>
      </c>
      <c r="F14" s="6">
        <f>$B14*Prices!F14</f>
        <v>14628.599999999999</v>
      </c>
      <c r="G14" s="6">
        <f>$B14*Prices!G14</f>
        <v>14742.63</v>
      </c>
      <c r="H14" s="6">
        <f>$B14*Prices!H14</f>
        <v>14675.22</v>
      </c>
      <c r="I14" s="6">
        <f>$B14*Prices!I14</f>
        <v>14668.92</v>
      </c>
      <c r="J14" s="6">
        <f>$B14*Prices!J14</f>
        <v>14603.400000000001</v>
      </c>
      <c r="K14" s="6">
        <f>$B14*Prices!K14</f>
        <v>14686.56</v>
      </c>
      <c r="L14" s="6">
        <f>$B14*Prices!L14</f>
        <v>14792.400000000001</v>
      </c>
      <c r="M14" s="6">
        <f>$B14*Prices!M14</f>
        <v>14902.650000000001</v>
      </c>
      <c r="N14" s="6">
        <f>$B14*Prices!N14</f>
        <v>14949.269999999999</v>
      </c>
      <c r="O14" s="6">
        <f>$B14*Prices!O14</f>
        <v>15047.55</v>
      </c>
      <c r="P14" s="6">
        <f>$B14*Prices!P14</f>
        <v>14229.18</v>
      </c>
      <c r="Q14" s="6">
        <f>$B14*Prices!Q14</f>
        <v>13916.7</v>
      </c>
      <c r="R14" s="6">
        <f>$B14*Prices!R14</f>
        <v>13768.019999999999</v>
      </c>
      <c r="S14" s="6">
        <f>$B14*Prices!S14</f>
        <v>13735.89</v>
      </c>
      <c r="T14" s="6">
        <f>$B14*Prices!T14</f>
        <v>13759.2</v>
      </c>
      <c r="U14" s="6">
        <f>$B14*Prices!U14</f>
        <v>13907.88</v>
      </c>
      <c r="V14" s="6">
        <f>$B14*Prices!V14</f>
        <v>14049</v>
      </c>
      <c r="W14" s="6">
        <f>$B14*Prices!W14</f>
        <v>13892.13</v>
      </c>
      <c r="X14" s="6">
        <f>$B14*Prices!X14</f>
        <v>13710.06</v>
      </c>
      <c r="Y14" s="6">
        <f>$B14*Prices!Y14</f>
        <v>13482</v>
      </c>
      <c r="Z14" s="6">
        <f>$B14*Prices!Z14</f>
        <v>13488.3</v>
      </c>
      <c r="AA14" s="6">
        <f>$B14*Prices!AA14</f>
        <v>13419</v>
      </c>
      <c r="AB14" s="6">
        <f>$B14*Prices!AB14</f>
        <v>13499.64</v>
      </c>
      <c r="AC14" s="6">
        <f>$B14*Prices!AC14</f>
        <v>13641.39</v>
      </c>
      <c r="AD14" s="6">
        <f>$B14*Prices!AD14</f>
        <v>13601.7</v>
      </c>
      <c r="AE14" s="6">
        <f>$B14*Prices!AE14</f>
        <v>13356</v>
      </c>
      <c r="AF14" s="6">
        <f>$B14*Prices!AF14</f>
        <v>13358.519999999999</v>
      </c>
      <c r="AG14" s="6">
        <f>$B14*Prices!AG14</f>
        <v>13487.04</v>
      </c>
      <c r="AH14" s="6">
        <f>$B14*Prices!AH14</f>
        <v>13578.39</v>
      </c>
      <c r="AI14" s="6">
        <f>$B14*Prices!AI14</f>
        <v>13716.36</v>
      </c>
      <c r="AJ14" s="6">
        <f>$B14*Prices!AJ14</f>
        <v>13734</v>
      </c>
      <c r="AK14" s="6">
        <f>$B14*Prices!AK14</f>
        <v>13873.86</v>
      </c>
      <c r="AL14" s="6">
        <f>$B14*Prices!AL14</f>
        <v>13934.97</v>
      </c>
      <c r="AM14" s="6">
        <f>$B14*Prices!AM14</f>
        <v>13810.230000000001</v>
      </c>
      <c r="AN14" s="6">
        <f>$B14*Prices!AN14</f>
        <v>13902.21</v>
      </c>
      <c r="AO14" s="6">
        <f>$B14*Prices!AO14</f>
        <v>13911.66</v>
      </c>
      <c r="AP14" s="6">
        <f>$B14*Prices!AP14</f>
        <v>13858.11</v>
      </c>
      <c r="AQ14" s="6">
        <f>$B14*Prices!AQ14</f>
        <v>13690.53</v>
      </c>
      <c r="AR14" s="6">
        <f>$B14*Prices!AR14</f>
        <v>13757.94</v>
      </c>
      <c r="AS14" s="6">
        <f>$B14*Prices!AS14</f>
        <v>13838.58</v>
      </c>
      <c r="AT14" s="6">
        <f>$B14*Prices!AT14</f>
        <v>13792.59</v>
      </c>
      <c r="AU14" s="6">
        <f>$B14*Prices!AU14</f>
        <v>13857.480000000001</v>
      </c>
      <c r="AV14" s="6">
        <f>$B14*Prices!AV14</f>
        <v>13766.76</v>
      </c>
      <c r="AW14" s="6">
        <f>$B14*Prices!AW14</f>
        <v>13972.769999999999</v>
      </c>
      <c r="AX14" s="6">
        <f>$B14*Prices!AX14</f>
        <v>14186.97</v>
      </c>
      <c r="AY14" s="6">
        <f>$B14*Prices!AY14</f>
        <v>14125.86</v>
      </c>
      <c r="AZ14" s="6">
        <f>$B14*Prices!AZ14</f>
        <v>14070.42</v>
      </c>
      <c r="BA14" s="6">
        <f>$B14*Prices!BA14</f>
        <v>14037.03</v>
      </c>
      <c r="BB14" s="6">
        <f>$B14*Prices!BB14</f>
        <v>14149.17</v>
      </c>
      <c r="BC14" s="6">
        <f>$B14*Prices!BC14</f>
        <v>14415.66</v>
      </c>
      <c r="BD14" s="6">
        <f>$B14*Prices!BD14</f>
        <v>14610.33</v>
      </c>
      <c r="BE14" s="6">
        <f>$B14*Prices!BE14</f>
        <v>14675.849999999999</v>
      </c>
      <c r="BF14" s="6">
        <f>$B14*Prices!BF14</f>
        <v>14672.7</v>
      </c>
      <c r="BG14" s="6">
        <f>$B14*Prices!BG14</f>
        <v>14719.95</v>
      </c>
      <c r="BH14" s="6">
        <f>$B14*Prices!BH14</f>
        <v>14616</v>
      </c>
      <c r="BI14" s="6">
        <f>$B14*Prices!BI14</f>
        <v>14564.97</v>
      </c>
      <c r="BJ14" s="6">
        <f>$B14*Prices!BJ14</f>
        <v>14733.18</v>
      </c>
      <c r="BK14" s="6">
        <f>$B14*Prices!BK14</f>
        <v>14743.26</v>
      </c>
      <c r="BL14" s="6">
        <f>$B14*Prices!BL14</f>
        <v>14665.769999999999</v>
      </c>
      <c r="BM14" s="6">
        <f>$B14*Prices!BM14</f>
        <v>14370.3</v>
      </c>
      <c r="BN14" s="6">
        <f>$B14*Prices!BN14</f>
        <v>14587.019999999999</v>
      </c>
      <c r="BO14" s="6">
        <f>$B14*Prices!BO14</f>
        <v>14805</v>
      </c>
      <c r="BP14" s="6">
        <f>$B14*Prices!BP14</f>
        <v>15000.93</v>
      </c>
      <c r="BQ14" s="6">
        <f>$B14*Prices!BQ14</f>
        <v>15046.92</v>
      </c>
      <c r="BR14" s="6">
        <f>$B14*Prices!BR14</f>
        <v>14949.900000000001</v>
      </c>
      <c r="BS14" s="6">
        <f>$B14*Prices!BS14</f>
        <v>15158.43</v>
      </c>
      <c r="BT14" s="6">
        <f>$B14*Prices!BT14</f>
        <v>15223.32</v>
      </c>
      <c r="BU14" s="6">
        <f>$B14*Prices!BU14</f>
        <v>15220.17</v>
      </c>
      <c r="BV14" s="6">
        <f>$B14*Prices!BV14</f>
        <v>15268.68</v>
      </c>
      <c r="BW14" s="6">
        <f>$B14*Prices!BW14</f>
        <v>15436.89</v>
      </c>
      <c r="BX14" s="6">
        <f>$B14*Prices!BX14</f>
        <v>15368.22</v>
      </c>
      <c r="BY14" s="6">
        <f>$B14*Prices!BY14</f>
        <v>15349.32</v>
      </c>
      <c r="BZ14" s="6">
        <f>$B14*Prices!BZ14</f>
        <v>15562.26</v>
      </c>
      <c r="CA14" s="6">
        <f>$B14*Prices!CA14</f>
        <v>15353.696798999999</v>
      </c>
      <c r="CB14" s="6">
        <f>$B14*Prices!CB14</f>
        <v>15000.737786999998</v>
      </c>
      <c r="CC14" s="6">
        <f>$B14*Prices!CC14</f>
        <v>14855.550128999999</v>
      </c>
      <c r="CD14" s="6">
        <f>$B14*Prices!CD14</f>
        <v>14724.129357</v>
      </c>
      <c r="CE14" s="6">
        <f>$B14*Prices!CE14</f>
        <v>14063.896349999999</v>
      </c>
      <c r="CF14" s="6">
        <f>$B14*Prices!CF14</f>
        <v>13632.711246000001</v>
      </c>
      <c r="CG14" s="6">
        <f>$B14*Prices!CG14</f>
        <v>14389.944597</v>
      </c>
      <c r="CH14" s="6">
        <f>$B14*Prices!CH14</f>
        <v>14264.782875000001</v>
      </c>
      <c r="CI14" s="6">
        <f>$B14*Prices!CI14</f>
        <v>15087.100328999999</v>
      </c>
      <c r="CJ14" s="6">
        <f>$B14*Prices!CJ14</f>
        <v>14694.715413</v>
      </c>
      <c r="CK14" s="6">
        <f>$B14*Prices!CK14</f>
        <v>14300.453034</v>
      </c>
      <c r="CL14" s="6">
        <f>$B14*Prices!CL14</f>
        <v>13170.861585000001</v>
      </c>
      <c r="CM14" s="6">
        <f>$B14*Prices!CM14</f>
        <v>14124.599811</v>
      </c>
      <c r="CN14" s="6">
        <f>$B14*Prices!CN14</f>
        <v>13412.069937</v>
      </c>
      <c r="CO14" s="6">
        <f>$B14*Prices!CO14</f>
        <v>12007.169748</v>
      </c>
      <c r="CP14" s="6">
        <f>$B14*Prices!CP14</f>
        <v>12957.209874</v>
      </c>
      <c r="CQ14" s="6">
        <f>$B14*Prices!CQ14</f>
        <v>10392.480441</v>
      </c>
      <c r="CR14" s="6">
        <f>$B14*Prices!CR14</f>
        <v>10939.319937</v>
      </c>
      <c r="CS14" s="6">
        <f>$B14*Prices!CS14</f>
        <v>9804.6903149999998</v>
      </c>
      <c r="CT14" s="6">
        <f>$B14*Prices!CT14</f>
        <v>10151.190315</v>
      </c>
      <c r="CU14" s="6">
        <f>$B14*Prices!CU14</f>
        <v>9585.4496220000001</v>
      </c>
      <c r="CV14" s="6">
        <f>$B14*Prices!CV14</f>
        <v>10230.569937</v>
      </c>
      <c r="CW14" s="6">
        <f>$B14*Prices!CW14</f>
        <v>11637.360063</v>
      </c>
      <c r="CX14" s="6">
        <f>$B14*Prices!CX14</f>
        <v>11450.879685</v>
      </c>
      <c r="CY14" s="6">
        <f>$B14*Prices!CY14</f>
        <v>12298.230441</v>
      </c>
      <c r="CZ14" s="6">
        <f>$B14*Prices!CZ14</f>
        <v>12004.650189</v>
      </c>
      <c r="DA14" s="6">
        <f>$B14*Prices!DA14</f>
        <v>12354.300378</v>
      </c>
      <c r="DB14" s="6">
        <f>$B14*Prices!DB14</f>
        <v>11762.730441</v>
      </c>
      <c r="DC14" s="6"/>
      <c r="DD14" s="6"/>
      <c r="DE14" s="6"/>
      <c r="DF14" s="6"/>
      <c r="DG14" s="6"/>
      <c r="DH14" s="6"/>
      <c r="DI14" s="6"/>
      <c r="DJ14" s="6"/>
    </row>
    <row r="15" spans="1:124">
      <c r="A15" s="3" t="s">
        <v>12</v>
      </c>
      <c r="B15">
        <v>51</v>
      </c>
      <c r="C15" s="6">
        <f>$B15*Prices!C15</f>
        <v>4944.96</v>
      </c>
      <c r="D15" s="6">
        <f>$B15*Prices!D15</f>
        <v>4911.8100000000004</v>
      </c>
      <c r="E15" s="6">
        <f>$B15*Prices!E15</f>
        <v>4997.49</v>
      </c>
      <c r="F15" s="6">
        <f>$B15*Prices!F15</f>
        <v>5107.6500000000005</v>
      </c>
      <c r="G15" s="6">
        <f>$B15*Prices!G15</f>
        <v>5078.07</v>
      </c>
      <c r="H15" s="6">
        <f>$B15*Prices!H15</f>
        <v>5045.43</v>
      </c>
      <c r="I15" s="6">
        <f>$B15*Prices!I15</f>
        <v>5053.59</v>
      </c>
      <c r="J15" s="6">
        <f>$B15*Prices!J15</f>
        <v>5004.63</v>
      </c>
      <c r="K15" s="6">
        <f>$B15*Prices!K15</f>
        <v>5002.59</v>
      </c>
      <c r="L15" s="6">
        <f>$B15*Prices!L15</f>
        <v>4985.76</v>
      </c>
      <c r="M15" s="6">
        <f>$B15*Prices!M15</f>
        <v>5041.3499999999995</v>
      </c>
      <c r="N15" s="6">
        <f>$B15*Prices!N15</f>
        <v>5084.1899999999996</v>
      </c>
      <c r="O15" s="6">
        <f>$B15*Prices!O15</f>
        <v>5108.67</v>
      </c>
      <c r="P15" s="6">
        <f>$B15*Prices!P15</f>
        <v>5110.71</v>
      </c>
      <c r="Q15" s="6">
        <f>$B15*Prices!Q15</f>
        <v>5062.26</v>
      </c>
      <c r="R15" s="6">
        <f>$B15*Prices!R15</f>
        <v>5053.08</v>
      </c>
      <c r="S15" s="6">
        <f>$B15*Prices!S15</f>
        <v>5162.22</v>
      </c>
      <c r="T15" s="6">
        <f>$B15*Prices!T15</f>
        <v>5257.59</v>
      </c>
      <c r="U15" s="6">
        <f>$B15*Prices!U15</f>
        <v>5371.32</v>
      </c>
      <c r="V15" s="6">
        <f>$B15*Prices!V15</f>
        <v>5424.87</v>
      </c>
      <c r="W15" s="6">
        <f>$B15*Prices!W15</f>
        <v>5355</v>
      </c>
      <c r="X15" s="6">
        <f>$B15*Prices!X15</f>
        <v>5342.25</v>
      </c>
      <c r="Y15" s="6">
        <f>$B15*Prices!Y15</f>
        <v>5301.45</v>
      </c>
      <c r="Z15" s="6">
        <f>$B15*Prices!Z15</f>
        <v>5313.18</v>
      </c>
      <c r="AA15" s="6">
        <f>$B15*Prices!AA15</f>
        <v>5350.41</v>
      </c>
      <c r="AB15" s="6">
        <f>$B15*Prices!AB15</f>
        <v>5378.97</v>
      </c>
      <c r="AC15" s="6">
        <f>$B15*Prices!AC15</f>
        <v>5342.25</v>
      </c>
      <c r="AD15" s="6">
        <f>$B15*Prices!AD15</f>
        <v>5339.7</v>
      </c>
      <c r="AE15" s="6">
        <f>$B15*Prices!AE15</f>
        <v>5390.7</v>
      </c>
      <c r="AF15" s="6">
        <f>$B15*Prices!AF15</f>
        <v>5432.5199999999995</v>
      </c>
      <c r="AG15" s="6">
        <f>$B15*Prices!AG15</f>
        <v>5467.2</v>
      </c>
      <c r="AH15" s="6">
        <f>$B15*Prices!AH15</f>
        <v>5532.4800000000005</v>
      </c>
      <c r="AI15" s="6">
        <f>$B15*Prices!AI15</f>
        <v>5548.8</v>
      </c>
      <c r="AJ15" s="6">
        <f>$B15*Prices!AJ15</f>
        <v>5571.75</v>
      </c>
      <c r="AK15" s="6">
        <f>$B15*Prices!AK15</f>
        <v>5627.34</v>
      </c>
      <c r="AL15" s="6">
        <f>$B15*Prices!AL15</f>
        <v>5682.42</v>
      </c>
      <c r="AM15" s="6">
        <f>$B15*Prices!AM15</f>
        <v>5675.28</v>
      </c>
      <c r="AN15" s="6">
        <f>$B15*Prices!AN15</f>
        <v>5679.87</v>
      </c>
      <c r="AO15" s="6">
        <f>$B15*Prices!AO15</f>
        <v>5708.94</v>
      </c>
      <c r="AP15" s="6">
        <f>$B15*Prices!AP15</f>
        <v>5731.89</v>
      </c>
      <c r="AQ15" s="6">
        <f>$B15*Prices!AQ15</f>
        <v>5679.87</v>
      </c>
      <c r="AR15" s="6">
        <f>$B15*Prices!AR15</f>
        <v>5656.41</v>
      </c>
      <c r="AS15" s="6">
        <f>$B15*Prices!AS15</f>
        <v>5683.95</v>
      </c>
      <c r="AT15" s="6">
        <f>$B15*Prices!AT15</f>
        <v>5609.49</v>
      </c>
      <c r="AU15" s="6">
        <f>$B15*Prices!AU15</f>
        <v>5580.42</v>
      </c>
      <c r="AV15" s="6">
        <f>$B15*Prices!AV15</f>
        <v>5522.79</v>
      </c>
      <c r="AW15" s="6">
        <f>$B15*Prices!AW15</f>
        <v>5569.71</v>
      </c>
      <c r="AX15" s="6">
        <f>$B15*Prices!AX15</f>
        <v>5563.59</v>
      </c>
      <c r="AY15" s="6">
        <f>$B15*Prices!AY15</f>
        <v>5538.5999999999995</v>
      </c>
      <c r="AZ15" s="6">
        <f>$B15*Prices!AZ15</f>
        <v>5573.79</v>
      </c>
      <c r="BA15" s="6">
        <f>$B15*Prices!BA15</f>
        <v>5563.59</v>
      </c>
      <c r="BB15" s="6">
        <f>$B15*Prices!BB15</f>
        <v>5591.13</v>
      </c>
      <c r="BC15" s="6">
        <f>$B15*Prices!BC15</f>
        <v>5691.5999999999995</v>
      </c>
      <c r="BD15" s="6">
        <f>$B15*Prices!BD15</f>
        <v>5809.92</v>
      </c>
      <c r="BE15" s="6">
        <f>$B15*Prices!BE15</f>
        <v>5641.62</v>
      </c>
      <c r="BF15" s="6">
        <f>$B15*Prices!BF15</f>
        <v>5653.3499999999995</v>
      </c>
      <c r="BG15" s="6">
        <f>$B15*Prices!BG15</f>
        <v>5658.96</v>
      </c>
      <c r="BH15" s="6">
        <f>$B15*Prices!BH15</f>
        <v>5532.99</v>
      </c>
      <c r="BI15" s="6">
        <f>$B15*Prices!BI15</f>
        <v>5351.94</v>
      </c>
      <c r="BJ15" s="6">
        <f>$B15*Prices!BJ15</f>
        <v>5500.86</v>
      </c>
      <c r="BK15" s="6">
        <f>$B15*Prices!BK15</f>
        <v>5610.51</v>
      </c>
      <c r="BL15" s="6">
        <f>$B15*Prices!BL15</f>
        <v>5562.57</v>
      </c>
      <c r="BM15" s="6">
        <f>$B15*Prices!BM15</f>
        <v>5497.8</v>
      </c>
      <c r="BN15" s="6">
        <f>$B15*Prices!BN15</f>
        <v>5500.3499999999995</v>
      </c>
      <c r="BO15" s="6">
        <f>$B15*Prices!BO15</f>
        <v>5657.94</v>
      </c>
      <c r="BP15" s="6">
        <f>$B15*Prices!BP15</f>
        <v>5776.26</v>
      </c>
      <c r="BQ15" s="6">
        <f>$B15*Prices!BQ15</f>
        <v>5747.7</v>
      </c>
      <c r="BR15" s="6">
        <f>$B15*Prices!BR15</f>
        <v>5652.84</v>
      </c>
      <c r="BS15" s="6">
        <f>$B15*Prices!BS15</f>
        <v>5679.87</v>
      </c>
      <c r="BT15" s="6">
        <f>$B15*Prices!BT15</f>
        <v>5759.94</v>
      </c>
      <c r="BU15" s="6">
        <f>$B15*Prices!BU15</f>
        <v>5798.7</v>
      </c>
      <c r="BV15" s="6">
        <f>$B15*Prices!BV15</f>
        <v>5760.96</v>
      </c>
      <c r="BW15" s="6">
        <f>$B15*Prices!BW15</f>
        <v>5774.7300000000005</v>
      </c>
      <c r="BX15" s="6">
        <f>$B15*Prices!BX15</f>
        <v>5708.43</v>
      </c>
      <c r="BY15" s="6">
        <f>$B15*Prices!BY15</f>
        <v>5746.17</v>
      </c>
      <c r="BZ15" s="6">
        <f>$B15*Prices!BZ15</f>
        <v>5712</v>
      </c>
      <c r="CA15" s="6">
        <f>$B15*Prices!CA15</f>
        <v>5579.5078649999996</v>
      </c>
      <c r="CB15" s="6">
        <f>$B15*Prices!CB15</f>
        <v>5296.8915690000003</v>
      </c>
      <c r="CC15" s="6">
        <f>$B15*Prices!CC15</f>
        <v>5035.1531430000005</v>
      </c>
      <c r="CD15" s="6">
        <f>$B15*Prices!CD15</f>
        <v>4985.25</v>
      </c>
      <c r="CE15" s="6">
        <f>$B15*Prices!CE15</f>
        <v>4887.3301019999999</v>
      </c>
      <c r="CF15" s="6">
        <f>$B15*Prices!CF15</f>
        <v>4957.1998469999999</v>
      </c>
      <c r="CG15" s="6">
        <f>$B15*Prices!CG15</f>
        <v>4919.4599490000001</v>
      </c>
      <c r="CH15" s="6">
        <f>$B15*Prices!CH15</f>
        <v>4759.8301019999999</v>
      </c>
      <c r="CI15" s="6">
        <f>$B15*Prices!CI15</f>
        <v>5017.8899490000003</v>
      </c>
      <c r="CJ15" s="6">
        <f>$B15*Prices!CJ15</f>
        <v>4666.5</v>
      </c>
      <c r="CK15" s="6">
        <f>$B15*Prices!CK15</f>
        <v>4612.9498469999999</v>
      </c>
      <c r="CL15" s="6">
        <f>$B15*Prices!CL15</f>
        <v>4395.18</v>
      </c>
      <c r="CM15" s="6">
        <f>$B15*Prices!CM15</f>
        <v>4606.32</v>
      </c>
      <c r="CN15" s="6">
        <f>$B15*Prices!CN15</f>
        <v>4135.5897960000002</v>
      </c>
      <c r="CO15" s="6">
        <f>$B15*Prices!CO15</f>
        <v>3912.7200509999998</v>
      </c>
      <c r="CP15" s="6">
        <f>$B15*Prices!CP15</f>
        <v>4010.1298470000002</v>
      </c>
      <c r="CQ15" s="6">
        <f>$B15*Prices!CQ15</f>
        <v>3546.5400510000004</v>
      </c>
      <c r="CR15" s="6">
        <f>$B15*Prices!CR15</f>
        <v>3306.3301019999994</v>
      </c>
      <c r="CS15" s="6">
        <f>$B15*Prices!CS15</f>
        <v>2890.68</v>
      </c>
      <c r="CT15" s="6">
        <f>$B15*Prices!CT15</f>
        <v>2959.5299489999998</v>
      </c>
      <c r="CU15" s="6">
        <f>$B15*Prices!CU15</f>
        <v>3141.5998979999999</v>
      </c>
      <c r="CV15" s="6">
        <f>$B15*Prices!CV15</f>
        <v>3229.8301019999999</v>
      </c>
      <c r="CW15" s="6">
        <f>$B15*Prices!CW15</f>
        <v>3538.8899490000003</v>
      </c>
      <c r="CX15" s="6">
        <f>$B15*Prices!CX15</f>
        <v>3684.75</v>
      </c>
      <c r="CY15" s="6">
        <f>$B15*Prices!CY15</f>
        <v>3733.1998469999999</v>
      </c>
      <c r="CZ15" s="6">
        <f>$B15*Prices!CZ15</f>
        <v>3526.6501020000001</v>
      </c>
      <c r="DA15" s="6">
        <f>$B15*Prices!DA15</f>
        <v>3502.6800000000003</v>
      </c>
      <c r="DB15" s="6">
        <f>$B15*Prices!DB15</f>
        <v>3480.2398979999998</v>
      </c>
      <c r="DC15" s="6"/>
      <c r="DD15" s="6"/>
      <c r="DE15" s="6"/>
      <c r="DF15" s="6"/>
      <c r="DG15" s="6"/>
      <c r="DH15" s="6"/>
      <c r="DI15" s="6"/>
      <c r="DJ15" s="6"/>
    </row>
    <row r="16" spans="1:124">
      <c r="A16" s="3" t="s">
        <v>13</v>
      </c>
      <c r="B16">
        <v>177</v>
      </c>
      <c r="C16" s="6">
        <f>$B16*Prices!C16</f>
        <v>14967.12</v>
      </c>
      <c r="D16" s="6">
        <f>$B16*Prices!D16</f>
        <v>14728.169999999998</v>
      </c>
      <c r="E16" s="6">
        <f>$B16*Prices!E16</f>
        <v>14579.490000000002</v>
      </c>
      <c r="F16" s="6">
        <f>$B16*Prices!F16</f>
        <v>14494.53</v>
      </c>
      <c r="G16" s="6">
        <f>$B16*Prices!G16</f>
        <v>14689.23</v>
      </c>
      <c r="H16" s="6">
        <f>$B16*Prices!H16</f>
        <v>14505.15</v>
      </c>
      <c r="I16" s="6">
        <f>$B16*Prices!I16</f>
        <v>14473.289999999999</v>
      </c>
      <c r="J16" s="6">
        <f>$B16*Prices!J16</f>
        <v>14590.11</v>
      </c>
      <c r="K16" s="6">
        <f>$B16*Prices!K16</f>
        <v>14747.64</v>
      </c>
      <c r="L16" s="6">
        <f>$B16*Prices!L16</f>
        <v>14857.38</v>
      </c>
      <c r="M16" s="6">
        <f>$B16*Prices!M16</f>
        <v>14935.259999999998</v>
      </c>
      <c r="N16" s="6">
        <f>$B16*Prices!N16</f>
        <v>14905.169999999998</v>
      </c>
      <c r="O16" s="6">
        <f>$B16*Prices!O16</f>
        <v>14871.539999999999</v>
      </c>
      <c r="P16" s="6">
        <f>$B16*Prices!P16</f>
        <v>14807.82</v>
      </c>
      <c r="Q16" s="6">
        <f>$B16*Prices!Q16</f>
        <v>14797.199999999999</v>
      </c>
      <c r="R16" s="6">
        <f>$B16*Prices!R16</f>
        <v>14567.1</v>
      </c>
      <c r="S16" s="6">
        <f>$B16*Prices!S16</f>
        <v>14694.539999999999</v>
      </c>
      <c r="T16" s="6">
        <f>$B16*Prices!T16</f>
        <v>14823.75</v>
      </c>
      <c r="U16" s="6">
        <f>$B16*Prices!U16</f>
        <v>14967.12</v>
      </c>
      <c r="V16" s="6">
        <f>$B16*Prices!V16</f>
        <v>15181.289999999999</v>
      </c>
      <c r="W16" s="6">
        <f>$B16*Prices!W16</f>
        <v>15121.11</v>
      </c>
      <c r="X16" s="6">
        <f>$B16*Prices!X16</f>
        <v>14968.89</v>
      </c>
      <c r="Y16" s="6">
        <f>$B16*Prices!Y16</f>
        <v>15013.14</v>
      </c>
      <c r="Z16" s="6">
        <f>$B16*Prices!Z16</f>
        <v>15115.800000000001</v>
      </c>
      <c r="AA16" s="6">
        <f>$B16*Prices!AA16</f>
        <v>14947.65</v>
      </c>
      <c r="AB16" s="6">
        <f>$B16*Prices!AB16</f>
        <v>15278.64</v>
      </c>
      <c r="AC16" s="6">
        <f>$B16*Prices!AC16</f>
        <v>15271.56</v>
      </c>
      <c r="AD16" s="6">
        <f>$B16*Prices!AD16</f>
        <v>15229.080000000002</v>
      </c>
      <c r="AE16" s="6">
        <f>$B16*Prices!AE16</f>
        <v>15326.43</v>
      </c>
      <c r="AF16" s="6">
        <f>$B16*Prices!AF16</f>
        <v>15613.169999999998</v>
      </c>
      <c r="AG16" s="6">
        <f>$B16*Prices!AG16</f>
        <v>15694.59</v>
      </c>
      <c r="AH16" s="6">
        <f>$B16*Prices!AH16</f>
        <v>15714.06</v>
      </c>
      <c r="AI16" s="6">
        <f>$B16*Prices!AI16</f>
        <v>15599.009999999998</v>
      </c>
      <c r="AJ16" s="6">
        <f>$B16*Prices!AJ16</f>
        <v>15574.23</v>
      </c>
      <c r="AK16" s="6">
        <f>$B16*Prices!AK16</f>
        <v>15668.039999999999</v>
      </c>
      <c r="AL16" s="6">
        <f>$B16*Prices!AL16</f>
        <v>15657.419999999998</v>
      </c>
      <c r="AM16" s="6">
        <f>$B16*Prices!AM16</f>
        <v>15616.710000000001</v>
      </c>
      <c r="AN16" s="6">
        <f>$B16*Prices!AN16</f>
        <v>15668.039999999999</v>
      </c>
      <c r="AO16" s="6">
        <f>$B16*Prices!AO16</f>
        <v>15589.275</v>
      </c>
      <c r="AP16" s="6">
        <f>$B16*Prices!AP16</f>
        <v>15599.009999999998</v>
      </c>
      <c r="AQ16" s="6">
        <f>$B16*Prices!AQ16</f>
        <v>15476.88</v>
      </c>
      <c r="AR16" s="6">
        <f>$B16*Prices!AR16</f>
        <v>15561.84</v>
      </c>
      <c r="AS16" s="6">
        <f>$B16*Prices!AS16</f>
        <v>15814.949999999999</v>
      </c>
      <c r="AT16" s="6">
        <f>$B16*Prices!AT16</f>
        <v>15722.91</v>
      </c>
      <c r="AU16" s="6">
        <f>$B16*Prices!AU16</f>
        <v>15599.009999999998</v>
      </c>
      <c r="AV16" s="6">
        <f>$B16*Prices!AV16</f>
        <v>15551.22</v>
      </c>
      <c r="AW16" s="6">
        <f>$B16*Prices!AW16</f>
        <v>15731.759999999998</v>
      </c>
      <c r="AX16" s="6">
        <f>$B16*Prices!AX16</f>
        <v>16023.81</v>
      </c>
      <c r="AY16" s="6">
        <f>$B16*Prices!AY16</f>
        <v>15958.32</v>
      </c>
      <c r="AZ16" s="6">
        <f>$B16*Prices!AZ16</f>
        <v>16121.16</v>
      </c>
      <c r="BA16" s="6">
        <f>$B16*Prices!BA16</f>
        <v>16105.23</v>
      </c>
      <c r="BB16" s="6">
        <f>$B16*Prices!BB16</f>
        <v>16202.580000000002</v>
      </c>
      <c r="BC16" s="6">
        <f>$B16*Prices!BC16</f>
        <v>16386.66</v>
      </c>
      <c r="BD16" s="6">
        <f>$B16*Prices!BD16</f>
        <v>16570.740000000002</v>
      </c>
      <c r="BE16" s="6">
        <f>$B16*Prices!BE16</f>
        <v>16377.81</v>
      </c>
      <c r="BF16" s="6">
        <f>$B16*Prices!BF16</f>
        <v>16377.81</v>
      </c>
      <c r="BG16" s="6">
        <f>$B16*Prices!BG16</f>
        <v>16593.75</v>
      </c>
      <c r="BH16" s="6">
        <f>$B16*Prices!BH16</f>
        <v>16289.31</v>
      </c>
      <c r="BI16" s="6">
        <f>$B16*Prices!BI16</f>
        <v>15705.210000000001</v>
      </c>
      <c r="BJ16" s="6">
        <f>$B16*Prices!BJ16</f>
        <v>15682.199999999999</v>
      </c>
      <c r="BK16" s="6">
        <f>$B16*Prices!BK16</f>
        <v>15349.44</v>
      </c>
      <c r="BL16" s="6">
        <f>$B16*Prices!BL16</f>
        <v>15193.68</v>
      </c>
      <c r="BM16" s="6">
        <f>$B16*Prices!BM16</f>
        <v>15014.91</v>
      </c>
      <c r="BN16" s="6">
        <f>$B16*Prices!BN16</f>
        <v>15223.77</v>
      </c>
      <c r="BO16" s="6">
        <f>$B16*Prices!BO16</f>
        <v>15643.259999999998</v>
      </c>
      <c r="BP16" s="6">
        <f>$B16*Prices!BP16</f>
        <v>15498.12</v>
      </c>
      <c r="BQ16" s="6">
        <f>$B16*Prices!BQ16</f>
        <v>15248.550000000001</v>
      </c>
      <c r="BR16" s="6">
        <f>$B16*Prices!BR16</f>
        <v>15296.34</v>
      </c>
      <c r="BS16" s="6">
        <f>$B16*Prices!BS16</f>
        <v>15492.81</v>
      </c>
      <c r="BT16" s="6">
        <f>$B16*Prices!BT16</f>
        <v>15489.27</v>
      </c>
      <c r="BU16" s="6">
        <f>$B16*Prices!BU16</f>
        <v>15676.89</v>
      </c>
      <c r="BV16" s="6">
        <f>$B16*Prices!BV16</f>
        <v>15916.725</v>
      </c>
      <c r="BW16" s="6">
        <f>$B16*Prices!BW16</f>
        <v>15802.56</v>
      </c>
      <c r="BX16" s="6">
        <f>$B16*Prices!BX16</f>
        <v>15793.710000000001</v>
      </c>
      <c r="BY16" s="6">
        <f>$B16*Prices!BY16</f>
        <v>15954.78</v>
      </c>
      <c r="BZ16" s="6">
        <f>$B16*Prices!BZ16</f>
        <v>15682.199999999999</v>
      </c>
      <c r="CA16" s="6">
        <f>$B16*Prices!CA16</f>
        <v>15462.720176999999</v>
      </c>
      <c r="CB16" s="6">
        <f>$B16*Prices!CB16</f>
        <v>14960.039469000001</v>
      </c>
      <c r="CC16" s="6">
        <f>$B16*Prices!CC16</f>
        <v>14547.630354000001</v>
      </c>
      <c r="CD16" s="6">
        <f>$B16*Prices!CD16</f>
        <v>14278.589646</v>
      </c>
      <c r="CE16" s="6">
        <f>$B16*Prices!CE16</f>
        <v>13857.330177</v>
      </c>
      <c r="CF16" s="6">
        <f>$B16*Prices!CF16</f>
        <v>13882.11</v>
      </c>
      <c r="CG16" s="6">
        <f>$B16*Prices!CG16</f>
        <v>14581.259469000001</v>
      </c>
      <c r="CH16" s="6">
        <f>$B16*Prices!CH16</f>
        <v>13912.199645999999</v>
      </c>
      <c r="CI16" s="6">
        <f>$B16*Prices!CI16</f>
        <v>14101.589646</v>
      </c>
      <c r="CJ16" s="6">
        <f>$B16*Prices!CJ16</f>
        <v>13485.630354000001</v>
      </c>
      <c r="CK16" s="6">
        <f>$B16*Prices!CK16</f>
        <v>13335.179292000001</v>
      </c>
      <c r="CL16" s="6">
        <f>$B16*Prices!CL16</f>
        <v>12536.910354</v>
      </c>
      <c r="CM16" s="6">
        <f>$B16*Prices!CM16</f>
        <v>13251.990530999999</v>
      </c>
      <c r="CN16" s="6">
        <f>$B16*Prices!CN16</f>
        <v>12089.100531</v>
      </c>
      <c r="CO16" s="6">
        <f>$B16*Prices!CO16</f>
        <v>10991.699645999999</v>
      </c>
      <c r="CP16" s="6">
        <f>$B16*Prices!CP16</f>
        <v>12375.839646</v>
      </c>
      <c r="CQ16" s="6">
        <f>$B16*Prices!CQ16</f>
        <v>10370.43</v>
      </c>
      <c r="CR16" s="6">
        <f>$B16*Prices!CR16</f>
        <v>10439.459999999999</v>
      </c>
      <c r="CS16" s="6">
        <f>$B16*Prices!CS16</f>
        <v>9970.4103539999996</v>
      </c>
      <c r="CT16" s="6">
        <f>$B16*Prices!CT16</f>
        <v>10869.57</v>
      </c>
      <c r="CU16" s="6">
        <f>$B16*Prices!CU16</f>
        <v>10271.309823</v>
      </c>
      <c r="CV16" s="6">
        <f>$B16*Prices!CV16</f>
        <v>10009.349823</v>
      </c>
      <c r="CW16" s="6">
        <f>$B16*Prices!CW16</f>
        <v>11483.759469000001</v>
      </c>
      <c r="CX16" s="6">
        <f>$B16*Prices!CX16</f>
        <v>11648.369645999999</v>
      </c>
      <c r="CY16" s="6">
        <f>$B16*Prices!CY16</f>
        <v>12372.300354000001</v>
      </c>
      <c r="CZ16" s="6">
        <f>$B16*Prices!CZ16</f>
        <v>11742.179292000001</v>
      </c>
      <c r="DA16" s="6">
        <f>$B16*Prices!DA16</f>
        <v>12011.220176999999</v>
      </c>
      <c r="DB16" s="6">
        <f>$B16*Prices!DB16</f>
        <v>11635.979646</v>
      </c>
      <c r="DC16" s="6"/>
      <c r="DD16" s="6"/>
      <c r="DE16" s="6"/>
      <c r="DF16" s="6"/>
      <c r="DG16" s="6"/>
      <c r="DH16" s="6"/>
      <c r="DI16" s="6"/>
      <c r="DJ16" s="6"/>
    </row>
    <row r="17" spans="1:114">
      <c r="A17" s="2" t="s">
        <v>14</v>
      </c>
      <c r="C17" s="6">
        <f>SUM(C18:C22)</f>
        <v>119986.01999999999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>
        <f>SUM(BM18:BM22)</f>
        <v>125013.2</v>
      </c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>
        <f>SUM(BZ18:BZ22)</f>
        <v>131347.78999999998</v>
      </c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</row>
    <row r="18" spans="1:114">
      <c r="A18" s="3" t="s">
        <v>15</v>
      </c>
      <c r="B18">
        <v>471</v>
      </c>
      <c r="C18" s="6">
        <f>$B18*Prices!C18</f>
        <v>23955.06</v>
      </c>
      <c r="D18" s="6">
        <f>$B18*Prices!D18</f>
        <v>24105.78</v>
      </c>
      <c r="E18" s="6">
        <f>$B18*Prices!E18</f>
        <v>24199.98</v>
      </c>
      <c r="F18" s="6">
        <f>$B18*Prices!F18</f>
        <v>24298.890000000003</v>
      </c>
      <c r="G18" s="6">
        <f>$B18*Prices!G18</f>
        <v>24713.37</v>
      </c>
      <c r="H18" s="6">
        <f>$B18*Prices!H18</f>
        <v>24482.579999999998</v>
      </c>
      <c r="I18" s="6">
        <f>$B18*Prices!I18</f>
        <v>24727.5</v>
      </c>
      <c r="J18" s="6">
        <f>$B18*Prices!J18</f>
        <v>24661.56</v>
      </c>
      <c r="K18" s="6">
        <f>$B18*Prices!K18</f>
        <v>24661.56</v>
      </c>
      <c r="L18" s="6">
        <f>$B18*Prices!L18</f>
        <v>24774.600000000002</v>
      </c>
      <c r="M18" s="6">
        <f>$B18*Prices!M18</f>
        <v>24741.63</v>
      </c>
      <c r="N18" s="6">
        <f>$B18*Prices!N18</f>
        <v>24755.760000000002</v>
      </c>
      <c r="O18" s="6">
        <f>$B18*Prices!O18</f>
        <v>24911.19</v>
      </c>
      <c r="P18" s="6">
        <f>$B18*Prices!P18</f>
        <v>24920.609999999997</v>
      </c>
      <c r="Q18" s="6">
        <f>$B18*Prices!Q18</f>
        <v>25043.07</v>
      </c>
      <c r="R18" s="6">
        <f>$B18*Prices!R18</f>
        <v>24652.140000000003</v>
      </c>
      <c r="S18" s="6">
        <f>$B18*Prices!S18</f>
        <v>24816.989999999998</v>
      </c>
      <c r="T18" s="6">
        <f>$B18*Prices!T18</f>
        <v>24831.119999999999</v>
      </c>
      <c r="U18" s="6">
        <f>$B18*Prices!U18</f>
        <v>25104.3</v>
      </c>
      <c r="V18" s="6">
        <f>$B18*Prices!V18</f>
        <v>25189.079999999998</v>
      </c>
      <c r="W18" s="6">
        <f>$B18*Prices!W18</f>
        <v>25113.72</v>
      </c>
      <c r="X18" s="6">
        <f>$B18*Prices!X18</f>
        <v>25189.079999999998</v>
      </c>
      <c r="Y18" s="6">
        <f>$B18*Prices!Y18</f>
        <v>25269.149999999998</v>
      </c>
      <c r="Z18" s="6">
        <f>$B18*Prices!Z18</f>
        <v>25104.3</v>
      </c>
      <c r="AA18" s="6">
        <f>$B18*Prices!AA18</f>
        <v>25386.899999999998</v>
      </c>
      <c r="AB18" s="6">
        <f>$B18*Prices!AB18</f>
        <v>25109.010000000002</v>
      </c>
      <c r="AC18" s="6">
        <f>$B18*Prices!AC18</f>
        <v>25038.359999999997</v>
      </c>
      <c r="AD18" s="6">
        <f>$B18*Prices!AD18</f>
        <v>25076.04</v>
      </c>
      <c r="AE18" s="6">
        <f>$B18*Prices!AE18</f>
        <v>24294.18</v>
      </c>
      <c r="AF18" s="6">
        <f>$B18*Prices!AF18</f>
        <v>24331.859999999997</v>
      </c>
      <c r="AG18" s="6">
        <f>$B18*Prices!AG18</f>
        <v>24303.600000000002</v>
      </c>
      <c r="AH18" s="6">
        <f>$B18*Prices!AH18</f>
        <v>24670.98</v>
      </c>
      <c r="AI18" s="6">
        <f>$B18*Prices!AI18</f>
        <v>24572.07</v>
      </c>
      <c r="AJ18" s="6">
        <f>$B18*Prices!AJ18</f>
        <v>25047.78</v>
      </c>
      <c r="AK18" s="6">
        <f>$B18*Prices!AK18</f>
        <v>25057.200000000001</v>
      </c>
      <c r="AL18" s="6">
        <f>$B18*Prices!AL18</f>
        <v>25094.880000000001</v>
      </c>
      <c r="AM18" s="6">
        <f>$B18*Prices!AM18</f>
        <v>24831.119999999999</v>
      </c>
      <c r="AN18" s="6">
        <f>$B18*Prices!AN18</f>
        <v>24953.579999999998</v>
      </c>
      <c r="AO18" s="6">
        <f>$B18*Prices!AO18</f>
        <v>24689.82</v>
      </c>
      <c r="AP18" s="6">
        <f>$B18*Prices!AP18</f>
        <v>25052.489999999998</v>
      </c>
      <c r="AQ18" s="6">
        <f>$B18*Prices!AQ18</f>
        <v>24840.54</v>
      </c>
      <c r="AR18" s="6">
        <f>$B18*Prices!AR18</f>
        <v>25226.760000000002</v>
      </c>
      <c r="AS18" s="6">
        <f>$B18*Prices!AS18</f>
        <v>24553.23</v>
      </c>
      <c r="AT18" s="6">
        <f>$B18*Prices!AT18</f>
        <v>24463.739999999998</v>
      </c>
      <c r="AU18" s="6">
        <f>$B18*Prices!AU18</f>
        <v>24769.890000000003</v>
      </c>
      <c r="AV18" s="6">
        <f>$B18*Prices!AV18</f>
        <v>24600.329999999998</v>
      </c>
      <c r="AW18" s="6">
        <f>$B18*Prices!AW18</f>
        <v>24953.579999999998</v>
      </c>
      <c r="AX18" s="6">
        <f>$B18*Prices!AX18</f>
        <v>24670.98</v>
      </c>
      <c r="AY18" s="6">
        <f>$B18*Prices!AY18</f>
        <v>24609.75</v>
      </c>
      <c r="AZ18" s="6">
        <f>$B18*Prices!AZ18</f>
        <v>24991.260000000002</v>
      </c>
      <c r="BA18" s="6">
        <f>$B18*Prices!BA18</f>
        <v>24963</v>
      </c>
      <c r="BB18" s="6">
        <f>$B18*Prices!BB18</f>
        <v>25137.27</v>
      </c>
      <c r="BC18" s="6">
        <f>$B18*Prices!BC18</f>
        <v>25302.12</v>
      </c>
      <c r="BD18" s="6">
        <f>$B18*Prices!BD18</f>
        <v>25363.350000000002</v>
      </c>
      <c r="BE18" s="6">
        <f>$B18*Prices!BE18</f>
        <v>25594.140000000003</v>
      </c>
      <c r="BF18" s="6">
        <f>$B18*Prices!BF18</f>
        <v>25424.579999999998</v>
      </c>
      <c r="BG18" s="6">
        <f>$B18*Prices!BG18</f>
        <v>25547.040000000001</v>
      </c>
      <c r="BH18" s="6">
        <f>$B18*Prices!BH18</f>
        <v>25297.41</v>
      </c>
      <c r="BI18" s="6">
        <f>$B18*Prices!BI18</f>
        <v>25066.62</v>
      </c>
      <c r="BJ18" s="6">
        <f>$B18*Prices!BJ18</f>
        <v>24967.71</v>
      </c>
      <c r="BK18" s="6">
        <f>$B18*Prices!BK18</f>
        <v>24977.13</v>
      </c>
      <c r="BL18" s="6">
        <f>$B18*Prices!BL18</f>
        <v>25306.829999999998</v>
      </c>
      <c r="BM18" s="6">
        <f>$B18*Prices!BM18</f>
        <v>24595.62</v>
      </c>
      <c r="BN18" s="6">
        <f>$B18*Prices!BN18</f>
        <v>24958.29</v>
      </c>
      <c r="BO18" s="6">
        <f>$B18*Prices!BO18</f>
        <v>24751.05</v>
      </c>
      <c r="BP18" s="6">
        <f>$B18*Prices!BP18</f>
        <v>24755.760000000002</v>
      </c>
      <c r="BQ18" s="6">
        <f>$B18*Prices!BQ18</f>
        <v>24355.41</v>
      </c>
      <c r="BR18" s="6">
        <f>$B18*Prices!BR18</f>
        <v>24444.899999999998</v>
      </c>
      <c r="BS18" s="6">
        <f>$B18*Prices!BS18</f>
        <v>24661.56</v>
      </c>
      <c r="BT18" s="6">
        <f>$B18*Prices!BT18</f>
        <v>24849.96</v>
      </c>
      <c r="BU18" s="6">
        <f>$B18*Prices!BU18</f>
        <v>24930.03</v>
      </c>
      <c r="BV18" s="6">
        <f>$B18*Prices!BV18</f>
        <v>24958.29</v>
      </c>
      <c r="BW18" s="6">
        <f>$B18*Prices!BW18</f>
        <v>25109.010000000002</v>
      </c>
      <c r="BX18" s="6">
        <f>$B18*Prices!BX18</f>
        <v>25217.34</v>
      </c>
      <c r="BY18" s="6">
        <f>$B18*Prices!BY18</f>
        <v>25076.04</v>
      </c>
      <c r="BZ18" s="6">
        <f>$B18*Prices!BZ18</f>
        <v>25495.23</v>
      </c>
      <c r="CA18" s="6">
        <f>$B18*Prices!CA18</f>
        <v>25396.319058000001</v>
      </c>
      <c r="CB18" s="6">
        <f>$B18*Prices!CB18</f>
        <v>25302.120471000002</v>
      </c>
      <c r="CC18" s="6">
        <f>$B18*Prices!CC18</f>
        <v>24741.629528999998</v>
      </c>
      <c r="CD18" s="6">
        <f>$B18*Prices!CD18</f>
        <v>24557.939529000003</v>
      </c>
      <c r="CE18" s="6">
        <f>$B18*Prices!CE18</f>
        <v>23615.939529000003</v>
      </c>
      <c r="CF18" s="6">
        <f>$B18*Prices!CF18</f>
        <v>23079</v>
      </c>
      <c r="CG18" s="6">
        <f>$B18*Prices!CG18</f>
        <v>24214.109999999997</v>
      </c>
      <c r="CH18" s="6">
        <f>$B18*Prices!CH18</f>
        <v>24327.150942</v>
      </c>
      <c r="CI18" s="6">
        <f>$B18*Prices!CI18</f>
        <v>25514.069058000001</v>
      </c>
      <c r="CJ18" s="6">
        <f>$B18*Prices!CJ18</f>
        <v>25575.299529</v>
      </c>
      <c r="CK18" s="6">
        <f>$B18*Prices!CK18</f>
        <v>25796.670000000002</v>
      </c>
      <c r="CL18" s="6">
        <f>$B18*Prices!CL18</f>
        <v>25499.939529000003</v>
      </c>
      <c r="CM18" s="6">
        <f>$B18*Prices!CM18</f>
        <v>25476.390000000003</v>
      </c>
      <c r="CN18" s="6">
        <f>$B18*Prices!CN18</f>
        <v>24901.769529000001</v>
      </c>
      <c r="CO18" s="6">
        <f>$B18*Prices!CO18</f>
        <v>23550</v>
      </c>
      <c r="CP18" s="6">
        <f>$B18*Prices!CP18</f>
        <v>25189.079999999998</v>
      </c>
      <c r="CQ18" s="6">
        <f>$B18*Prices!CQ18</f>
        <v>25141.980470999999</v>
      </c>
      <c r="CR18" s="6">
        <f>$B18*Prices!CR18</f>
        <v>28104.569058000001</v>
      </c>
      <c r="CS18" s="6">
        <f>$B18*Prices!CS18</f>
        <v>27200.25</v>
      </c>
      <c r="CT18" s="6">
        <f>$B18*Prices!CT18</f>
        <v>25283.279999999999</v>
      </c>
      <c r="CU18" s="6">
        <f>$B18*Prices!CU18</f>
        <v>25137.269529000001</v>
      </c>
      <c r="CV18" s="6">
        <f>$B18*Prices!CV18</f>
        <v>22268.879528999998</v>
      </c>
      <c r="CW18" s="6">
        <f>$B18*Prices!CW18</f>
        <v>22716.329999999998</v>
      </c>
      <c r="CX18" s="6">
        <f>$B18*Prices!CX18</f>
        <v>22443.150942</v>
      </c>
      <c r="CY18" s="6">
        <f>$B18*Prices!CY18</f>
        <v>23550</v>
      </c>
      <c r="CZ18" s="6">
        <f>$B18*Prices!CZ18</f>
        <v>24407.22</v>
      </c>
      <c r="DA18" s="6">
        <f>$B18*Prices!DA18</f>
        <v>25481.099058</v>
      </c>
      <c r="DB18" s="6">
        <f>$B18*Prices!DB18</f>
        <v>24854.670000000002</v>
      </c>
      <c r="DC18" s="6"/>
      <c r="DD18" s="6"/>
      <c r="DE18" s="6"/>
      <c r="DF18" s="6"/>
      <c r="DG18" s="6"/>
      <c r="DH18" s="6"/>
      <c r="DI18" s="6"/>
      <c r="DJ18" s="6"/>
    </row>
    <row r="19" spans="1:114">
      <c r="A19" s="3" t="s">
        <v>16</v>
      </c>
      <c r="B19">
        <v>126</v>
      </c>
      <c r="C19" s="6">
        <f>$B19*Prices!C19</f>
        <v>23981.58</v>
      </c>
      <c r="D19" s="6">
        <f>$B19*Prices!D19</f>
        <v>24066</v>
      </c>
      <c r="E19" s="6">
        <f>$B19*Prices!E19</f>
        <v>24433.919999999998</v>
      </c>
      <c r="F19" s="6">
        <f>$B19*Prices!F19</f>
        <v>24156.720000000001</v>
      </c>
      <c r="G19" s="6">
        <f>$B19*Prices!G19</f>
        <v>24344.460000000003</v>
      </c>
      <c r="H19" s="6">
        <f>$B19*Prices!H19</f>
        <v>23975.279999999999</v>
      </c>
      <c r="I19" s="6">
        <f>$B19*Prices!I19</f>
        <v>23632.560000000001</v>
      </c>
      <c r="J19" s="6">
        <f>$B19*Prices!J19</f>
        <v>23249.52</v>
      </c>
      <c r="K19" s="6">
        <f>$B19*Prices!K19</f>
        <v>23162.58</v>
      </c>
      <c r="L19" s="6">
        <f>$B19*Prices!L19</f>
        <v>23185.26</v>
      </c>
      <c r="M19" s="6">
        <f>$B19*Prices!M19</f>
        <v>23040.36</v>
      </c>
      <c r="N19" s="6">
        <f>$B19*Prices!N19</f>
        <v>22635.9</v>
      </c>
      <c r="O19" s="6">
        <f>$B19*Prices!O19</f>
        <v>22036.14</v>
      </c>
      <c r="P19" s="6">
        <f>$B19*Prices!P19</f>
        <v>22800.960000000003</v>
      </c>
      <c r="Q19" s="6">
        <f>$B19*Prices!Q19</f>
        <v>23418.36</v>
      </c>
      <c r="R19" s="6">
        <f>$B19*Prices!R19</f>
        <v>23515.38</v>
      </c>
      <c r="S19" s="6">
        <f>$B19*Prices!S19</f>
        <v>22833.72</v>
      </c>
      <c r="T19" s="6">
        <f>$B19*Prices!T19</f>
        <v>23129.82</v>
      </c>
      <c r="U19" s="6">
        <f>$B19*Prices!U19</f>
        <v>23191.56</v>
      </c>
      <c r="V19" s="6">
        <f>$B19*Prices!V19</f>
        <v>23404.5</v>
      </c>
      <c r="W19" s="6">
        <f>$B19*Prices!W19</f>
        <v>23443.56</v>
      </c>
      <c r="X19" s="6">
        <f>$B19*Prices!X19</f>
        <v>23446.080000000002</v>
      </c>
      <c r="Y19" s="6">
        <f>$B19*Prices!Y19</f>
        <v>23245.74</v>
      </c>
      <c r="Z19" s="6">
        <f>$B19*Prices!Z19</f>
        <v>23220.539999999997</v>
      </c>
      <c r="AA19" s="6">
        <f>$B19*Prices!AA19</f>
        <v>22989.960000000003</v>
      </c>
      <c r="AB19" s="6">
        <f>$B19*Prices!AB19</f>
        <v>23139.9</v>
      </c>
      <c r="AC19" s="6">
        <f>$B19*Prices!AC19</f>
        <v>22840.02</v>
      </c>
      <c r="AD19" s="6">
        <f>$B19*Prices!AD19</f>
        <v>22797.18</v>
      </c>
      <c r="AE19" s="6">
        <f>$B19*Prices!AE19</f>
        <v>22884.12</v>
      </c>
      <c r="AF19" s="6">
        <f>$B19*Prices!AF19</f>
        <v>22653.539999999997</v>
      </c>
      <c r="AG19" s="6">
        <f>$B19*Prices!AG19</f>
        <v>22939.56</v>
      </c>
      <c r="AH19" s="6">
        <f>$B19*Prices!AH19</f>
        <v>23044.14</v>
      </c>
      <c r="AI19" s="6">
        <f>$B19*Prices!AI19</f>
        <v>23073.119999999999</v>
      </c>
      <c r="AJ19" s="6">
        <f>$B19*Prices!AJ19</f>
        <v>23143.68</v>
      </c>
      <c r="AK19" s="6">
        <f>$B19*Prices!AK19</f>
        <v>23413.32</v>
      </c>
      <c r="AL19" s="6">
        <f>$B19*Prices!AL19</f>
        <v>23801.4</v>
      </c>
      <c r="AM19" s="6">
        <f>$B19*Prices!AM19</f>
        <v>23693.039999999997</v>
      </c>
      <c r="AN19" s="6">
        <f>$B19*Prices!AN19</f>
        <v>23540.58</v>
      </c>
      <c r="AO19" s="6">
        <f>$B19*Prices!AO19</f>
        <v>23897.16</v>
      </c>
      <c r="AP19" s="6">
        <f>$B19*Prices!AP19</f>
        <v>23842.98</v>
      </c>
      <c r="AQ19" s="6">
        <f>$B19*Prices!AQ19</f>
        <v>23734.62</v>
      </c>
      <c r="AR19" s="6">
        <f>$B19*Prices!AR19</f>
        <v>23908.5</v>
      </c>
      <c r="AS19" s="6">
        <f>$B19*Prices!AS19</f>
        <v>23725.800000000003</v>
      </c>
      <c r="AT19" s="6">
        <f>$B19*Prices!AT19</f>
        <v>23880.78</v>
      </c>
      <c r="AU19" s="6">
        <f>$B19*Prices!AU19</f>
        <v>23990.400000000001</v>
      </c>
      <c r="AV19" s="6">
        <f>$B19*Prices!AV19</f>
        <v>23133.599999999999</v>
      </c>
      <c r="AW19" s="6">
        <f>$B19*Prices!AW19</f>
        <v>23976.539999999997</v>
      </c>
      <c r="AX19" s="6">
        <f>$B19*Prices!AX19</f>
        <v>24392.34</v>
      </c>
      <c r="AY19" s="6">
        <f>$B19*Prices!AY19</f>
        <v>23735.88</v>
      </c>
      <c r="AZ19" s="6">
        <f>$B19*Prices!AZ19</f>
        <v>23743.439999999999</v>
      </c>
      <c r="BA19" s="6">
        <f>$B19*Prices!BA19</f>
        <v>24044.58</v>
      </c>
      <c r="BB19" s="6">
        <f>$B19*Prices!BB19</f>
        <v>24047.1</v>
      </c>
      <c r="BC19" s="6">
        <f>$B19*Prices!BC19</f>
        <v>24048.36</v>
      </c>
      <c r="BD19" s="6">
        <f>$B19*Prices!BD19</f>
        <v>23933.699999999997</v>
      </c>
      <c r="BE19" s="6">
        <f>$B19*Prices!BE19</f>
        <v>23968.98</v>
      </c>
      <c r="BF19" s="6">
        <f>$B19*Prices!BF19</f>
        <v>24184.44</v>
      </c>
      <c r="BG19" s="6">
        <f>$B19*Prices!BG19</f>
        <v>24440.22</v>
      </c>
      <c r="BH19" s="6">
        <f>$B19*Prices!BH19</f>
        <v>24136.560000000001</v>
      </c>
      <c r="BI19" s="6">
        <f>$B19*Prices!BI19</f>
        <v>24053.4</v>
      </c>
      <c r="BJ19" s="6">
        <f>$B19*Prices!BJ19</f>
        <v>24286.5</v>
      </c>
      <c r="BK19" s="6">
        <f>$B19*Prices!BK19</f>
        <v>24265.08</v>
      </c>
      <c r="BL19" s="6">
        <f>$B19*Prices!BL19</f>
        <v>24039.539999999997</v>
      </c>
      <c r="BM19" s="6">
        <f>$B19*Prices!BM19</f>
        <v>23725.800000000003</v>
      </c>
      <c r="BN19" s="6">
        <f>$B19*Prices!BN19</f>
        <v>23829.119999999999</v>
      </c>
      <c r="BO19" s="6">
        <f>$B19*Prices!BO19</f>
        <v>24304.14</v>
      </c>
      <c r="BP19" s="6">
        <f>$B19*Prices!BP19</f>
        <v>24839.64</v>
      </c>
      <c r="BQ19" s="6">
        <f>$B19*Prices!BQ19</f>
        <v>25174.800000000003</v>
      </c>
      <c r="BR19" s="6">
        <f>$B19*Prices!BR19</f>
        <v>25242.84</v>
      </c>
      <c r="BS19" s="6">
        <f>$B19*Prices!BS19</f>
        <v>25208.82</v>
      </c>
      <c r="BT19" s="6">
        <f>$B19*Prices!BT19</f>
        <v>25192.44</v>
      </c>
      <c r="BU19" s="6">
        <f>$B19*Prices!BU19</f>
        <v>25038.720000000001</v>
      </c>
      <c r="BV19" s="6">
        <f>$B19*Prices!BV19</f>
        <v>25349.94</v>
      </c>
      <c r="BW19" s="6">
        <f>$B19*Prices!BW19</f>
        <v>25682.58</v>
      </c>
      <c r="BX19" s="6">
        <f>$B19*Prices!BX19</f>
        <v>25681.32</v>
      </c>
      <c r="BY19" s="6">
        <f>$B19*Prices!BY19</f>
        <v>26036.639999999999</v>
      </c>
      <c r="BZ19" s="6">
        <f>$B19*Prices!BZ19</f>
        <v>26250.84</v>
      </c>
      <c r="CA19" s="6">
        <f>$B19*Prices!CA19</f>
        <v>26132.399244</v>
      </c>
      <c r="CB19" s="6">
        <f>$B19*Prices!CB19</f>
        <v>25394.039118000001</v>
      </c>
      <c r="CC19" s="6">
        <f>$B19*Prices!CC19</f>
        <v>24606.539118000001</v>
      </c>
      <c r="CD19" s="6">
        <f>$B19*Prices!CD19</f>
        <v>24062.220126</v>
      </c>
      <c r="CE19" s="6">
        <f>$B19*Prices!CE19</f>
        <v>22133.160503999999</v>
      </c>
      <c r="CF19" s="6">
        <f>$B19*Prices!CF19</f>
        <v>21719.88063</v>
      </c>
      <c r="CG19" s="6">
        <f>$B19*Prices!CG19</f>
        <v>22329.720126</v>
      </c>
      <c r="CH19" s="6">
        <f>$B19*Prices!CH19</f>
        <v>22376.339496000001</v>
      </c>
      <c r="CI19" s="6">
        <f>$B19*Prices!CI19</f>
        <v>23430.960881999999</v>
      </c>
      <c r="CJ19" s="6">
        <f>$B19*Prices!CJ19</f>
        <v>23029.020504</v>
      </c>
      <c r="CK19" s="6">
        <f>$B19*Prices!CK19</f>
        <v>22562.820882</v>
      </c>
      <c r="CL19" s="6">
        <f>$B19*Prices!CL19</f>
        <v>20694.24063</v>
      </c>
      <c r="CM19" s="6">
        <f>$B19*Prices!CM19</f>
        <v>20830.320882</v>
      </c>
      <c r="CN19" s="6">
        <f>$B19*Prices!CN19</f>
        <v>19538.820882</v>
      </c>
      <c r="CO19" s="6">
        <f>$B19*Prices!CO19</f>
        <v>16560.179118</v>
      </c>
      <c r="CP19" s="6">
        <f>$B19*Prices!CP19</f>
        <v>16755.479496</v>
      </c>
      <c r="CQ19" s="6">
        <f>$B19*Prices!CQ19</f>
        <v>15718.5</v>
      </c>
      <c r="CR19" s="6">
        <f>$B19*Prices!CR19</f>
        <v>15680.699622</v>
      </c>
      <c r="CS19" s="6">
        <f>$B19*Prices!CS19</f>
        <v>15277.5</v>
      </c>
      <c r="CT19" s="6">
        <f>$B19*Prices!CT19</f>
        <v>15505.559748</v>
      </c>
      <c r="CU19" s="6">
        <f>$B19*Prices!CU19</f>
        <v>15082.199622</v>
      </c>
      <c r="CV19" s="6">
        <f>$B19*Prices!CV19</f>
        <v>13310.639874</v>
      </c>
      <c r="CW19" s="6">
        <f>$B19*Prices!CW19</f>
        <v>15601.32</v>
      </c>
      <c r="CX19" s="6">
        <f>$B19*Prices!CX19</f>
        <v>15952.860126</v>
      </c>
      <c r="CY19" s="6">
        <f>$B19*Prices!CY19</f>
        <v>17726.940252</v>
      </c>
      <c r="CZ19" s="6">
        <f>$B19*Prices!CZ19</f>
        <v>18254.88063</v>
      </c>
      <c r="DA19" s="6">
        <f>$B19*Prices!DA19</f>
        <v>18451.440252</v>
      </c>
      <c r="DB19" s="6">
        <f>$B19*Prices!DB19</f>
        <v>18063.360126</v>
      </c>
      <c r="DC19" s="6"/>
      <c r="DD19" s="6"/>
      <c r="DE19" s="6"/>
      <c r="DF19" s="6"/>
      <c r="DG19" s="6"/>
      <c r="DH19" s="6"/>
      <c r="DI19" s="6"/>
      <c r="DJ19" s="6"/>
    </row>
    <row r="20" spans="1:114">
      <c r="A20" s="3" t="s">
        <v>17</v>
      </c>
      <c r="B20">
        <v>308</v>
      </c>
      <c r="C20" s="6">
        <f>$B20*Prices!C20</f>
        <v>36116.080000000002</v>
      </c>
      <c r="D20" s="6">
        <f>$B20*Prices!D20</f>
        <v>36226.959999999999</v>
      </c>
      <c r="E20" s="6">
        <f>$B20*Prices!E20</f>
        <v>36211.56</v>
      </c>
      <c r="F20" s="6">
        <f>$B20*Prices!F20</f>
        <v>36608.879999999997</v>
      </c>
      <c r="G20" s="6">
        <f>$B20*Prices!G20</f>
        <v>36806</v>
      </c>
      <c r="H20" s="6">
        <f>$B20*Prices!H20</f>
        <v>37030.840000000004</v>
      </c>
      <c r="I20" s="6">
        <f>$B20*Prices!I20</f>
        <v>36787.519999999997</v>
      </c>
      <c r="J20" s="6">
        <f>$B20*Prices!J20</f>
        <v>36664.32</v>
      </c>
      <c r="K20" s="6">
        <f>$B20*Prices!K20</f>
        <v>36688.959999999999</v>
      </c>
      <c r="L20" s="6">
        <f>$B20*Prices!L20</f>
        <v>37261.840000000004</v>
      </c>
      <c r="M20" s="6">
        <f>$B20*Prices!M20</f>
        <v>37160.200000000004</v>
      </c>
      <c r="N20" s="6">
        <f>$B20*Prices!N20</f>
        <v>36611.96</v>
      </c>
      <c r="O20" s="6">
        <f>$B20*Prices!O20</f>
        <v>37037</v>
      </c>
      <c r="P20" s="6">
        <f>$B20*Prices!P20</f>
        <v>36926.120000000003</v>
      </c>
      <c r="Q20" s="6">
        <f>$B20*Prices!Q20</f>
        <v>36692.04</v>
      </c>
      <c r="R20" s="6">
        <f>$B20*Prices!R20</f>
        <v>36916.879999999997</v>
      </c>
      <c r="S20" s="6">
        <f>$B20*Prices!S20</f>
        <v>36762.879999999997</v>
      </c>
      <c r="T20" s="6">
        <f>$B20*Prices!T20</f>
        <v>36627.360000000001</v>
      </c>
      <c r="U20" s="6">
        <f>$B20*Prices!U20</f>
        <v>36710.519999999997</v>
      </c>
      <c r="V20" s="6">
        <f>$B20*Prices!V20</f>
        <v>36578.080000000002</v>
      </c>
      <c r="W20" s="6">
        <f>$B20*Prices!W20</f>
        <v>36679.72</v>
      </c>
      <c r="X20" s="6">
        <f>$B20*Prices!X20</f>
        <v>36738.239999999998</v>
      </c>
      <c r="Y20" s="6">
        <f>$B20*Prices!Y20</f>
        <v>36550.36</v>
      </c>
      <c r="Z20" s="6">
        <f>$B20*Prices!Z20</f>
        <v>36556.519999999997</v>
      </c>
      <c r="AA20" s="6">
        <f>$B20*Prices!AA20</f>
        <v>36547.279999999999</v>
      </c>
      <c r="AB20" s="6">
        <f>$B20*Prices!AB20</f>
        <v>36892.239999999998</v>
      </c>
      <c r="AC20" s="6">
        <f>$B20*Prices!AC20</f>
        <v>36762.879999999997</v>
      </c>
      <c r="AD20" s="6">
        <f>$B20*Prices!AD20</f>
        <v>36695.120000000003</v>
      </c>
      <c r="AE20" s="6">
        <f>$B20*Prices!AE20</f>
        <v>36652</v>
      </c>
      <c r="AF20" s="6">
        <f>$B20*Prices!AF20</f>
        <v>36886.080000000002</v>
      </c>
      <c r="AG20" s="6">
        <f>$B20*Prices!AG20</f>
        <v>37049.32</v>
      </c>
      <c r="AH20" s="6">
        <f>$B20*Prices!AH20</f>
        <v>37126.32</v>
      </c>
      <c r="AI20" s="6">
        <f>$B20*Prices!AI20</f>
        <v>37354.239999999998</v>
      </c>
      <c r="AJ20" s="6">
        <f>$B20*Prices!AJ20</f>
        <v>36916.879999999997</v>
      </c>
      <c r="AK20" s="6">
        <f>$B20*Prices!AK20</f>
        <v>36984.639999999999</v>
      </c>
      <c r="AL20" s="6">
        <f>$B20*Prices!AL20</f>
        <v>37049.32</v>
      </c>
      <c r="AM20" s="6">
        <f>$B20*Prices!AM20</f>
        <v>36661.24</v>
      </c>
      <c r="AN20" s="6">
        <f>$B20*Prices!AN20</f>
        <v>36809.08</v>
      </c>
      <c r="AO20" s="6">
        <f>$B20*Prices!AO20</f>
        <v>36812.159999999996</v>
      </c>
      <c r="AP20" s="6">
        <f>$B20*Prices!AP20</f>
        <v>36833.72</v>
      </c>
      <c r="AQ20" s="6">
        <f>$B20*Prices!AQ20</f>
        <v>36775.200000000004</v>
      </c>
      <c r="AR20" s="6">
        <f>$B20*Prices!AR20</f>
        <v>36602.720000000001</v>
      </c>
      <c r="AS20" s="6">
        <f>$B20*Prices!AS20</f>
        <v>36633.519999999997</v>
      </c>
      <c r="AT20" s="6">
        <f>$B20*Prices!AT20</f>
        <v>36310.120000000003</v>
      </c>
      <c r="AU20" s="6">
        <f>$B20*Prices!AU20</f>
        <v>36236.200000000004</v>
      </c>
      <c r="AV20" s="6">
        <f>$B20*Prices!AV20</f>
        <v>35900.480000000003</v>
      </c>
      <c r="AW20" s="6">
        <f>$B20*Prices!AW20</f>
        <v>35777.279999999999</v>
      </c>
      <c r="AX20" s="6">
        <f>$B20*Prices!AX20</f>
        <v>36146.879999999997</v>
      </c>
      <c r="AY20" s="6">
        <f>$B20*Prices!AY20</f>
        <v>35845.040000000001</v>
      </c>
      <c r="AZ20" s="6">
        <f>$B20*Prices!AZ20</f>
        <v>35691.040000000001</v>
      </c>
      <c r="BA20" s="6">
        <f>$B20*Prices!BA20</f>
        <v>35783.440000000002</v>
      </c>
      <c r="BB20" s="6">
        <f>$B20*Prices!BB20</f>
        <v>35506.239999999998</v>
      </c>
      <c r="BC20" s="6">
        <f>$B20*Prices!BC20</f>
        <v>35697.200000000004</v>
      </c>
      <c r="BD20" s="6">
        <f>$B20*Prices!BD20</f>
        <v>35407.68</v>
      </c>
      <c r="BE20" s="6">
        <f>$B20*Prices!BE20</f>
        <v>35601.72</v>
      </c>
      <c r="BF20" s="6">
        <f>$B20*Prices!BF20</f>
        <v>35758.799999999996</v>
      </c>
      <c r="BG20" s="6">
        <f>$B20*Prices!BG20</f>
        <v>35669.480000000003</v>
      </c>
      <c r="BH20" s="6">
        <f>$B20*Prices!BH20</f>
        <v>35225.96</v>
      </c>
      <c r="BI20" s="6">
        <f>$B20*Prices!BI20</f>
        <v>35684.879999999997</v>
      </c>
      <c r="BJ20" s="6">
        <f>$B20*Prices!BJ20</f>
        <v>35912.799999999996</v>
      </c>
      <c r="BK20" s="6">
        <f>$B20*Prices!BK20</f>
        <v>35694.120000000003</v>
      </c>
      <c r="BL20" s="6">
        <f>$B20*Prices!BL20</f>
        <v>35906.639999999999</v>
      </c>
      <c r="BM20" s="6">
        <f>$B20*Prices!BM20</f>
        <v>35262.92</v>
      </c>
      <c r="BN20" s="6">
        <f>$B20*Prices!BN20</f>
        <v>35195.159999999996</v>
      </c>
      <c r="BO20" s="6">
        <f>$B20*Prices!BO20</f>
        <v>35503.159999999996</v>
      </c>
      <c r="BP20" s="6">
        <f>$B20*Prices!BP20</f>
        <v>35977.480000000003</v>
      </c>
      <c r="BQ20" s="6">
        <f>$B20*Prices!BQ20</f>
        <v>35823.480000000003</v>
      </c>
      <c r="BR20" s="6">
        <f>$B20*Prices!BR20</f>
        <v>35866.6</v>
      </c>
      <c r="BS20" s="6">
        <f>$B20*Prices!BS20</f>
        <v>35497</v>
      </c>
      <c r="BT20" s="6">
        <f>$B20*Prices!BT20</f>
        <v>35543.200000000004</v>
      </c>
      <c r="BU20" s="6">
        <f>$B20*Prices!BU20</f>
        <v>35681.799999999996</v>
      </c>
      <c r="BV20" s="6">
        <f>$B20*Prices!BV20</f>
        <v>36171.519999999997</v>
      </c>
      <c r="BW20" s="6">
        <f>$B20*Prices!BW20</f>
        <v>36310.120000000003</v>
      </c>
      <c r="BX20" s="6">
        <f>$B20*Prices!BX20</f>
        <v>36846.04</v>
      </c>
      <c r="BY20" s="6">
        <f>$B20*Prices!BY20</f>
        <v>36245.440000000002</v>
      </c>
      <c r="BZ20" s="6">
        <f>$B20*Prices!BZ20</f>
        <v>36248.519999999997</v>
      </c>
      <c r="CA20" s="6">
        <f>$B20*Prices!CA20</f>
        <v>36361.748500000002</v>
      </c>
      <c r="CB20" s="6">
        <f>$B20*Prices!CB20</f>
        <v>35668.734332</v>
      </c>
      <c r="CC20" s="6">
        <f>$B20*Prices!CC20</f>
        <v>35076.912023999997</v>
      </c>
      <c r="CD20" s="6">
        <f>$B20*Prices!CD20</f>
        <v>34889.86116</v>
      </c>
      <c r="CE20" s="6">
        <f>$B20*Prices!CE20</f>
        <v>33853.406664000002</v>
      </c>
      <c r="CF20" s="6">
        <f>$B20*Prices!CF20</f>
        <v>33019.338043999996</v>
      </c>
      <c r="CG20" s="6">
        <f>$B20*Prices!CG20</f>
        <v>35533.810312000001</v>
      </c>
      <c r="CH20" s="6">
        <f>$B20*Prices!CH20</f>
        <v>34623.082340000001</v>
      </c>
      <c r="CI20" s="6">
        <f>$B20*Prices!CI20</f>
        <v>35806.722335999999</v>
      </c>
      <c r="CJ20" s="6">
        <f>$B20*Prices!CJ20</f>
        <v>35546.076719999997</v>
      </c>
      <c r="CK20" s="6">
        <f>$B20*Prices!CK20</f>
        <v>35947.781715999998</v>
      </c>
      <c r="CL20" s="6">
        <f>$B20*Prices!CL20</f>
        <v>35926.315964000001</v>
      </c>
      <c r="CM20" s="6">
        <f>$B20*Prices!CM20</f>
        <v>36732.788092000003</v>
      </c>
      <c r="CN20" s="6">
        <f>$B20*Prices!CN20</f>
        <v>35089.178123999998</v>
      </c>
      <c r="CO20" s="6">
        <f>$B20*Prices!CO20</f>
        <v>31906.224196000003</v>
      </c>
      <c r="CP20" s="6">
        <f>$B20*Prices!CP20</f>
        <v>34987.986572000002</v>
      </c>
      <c r="CQ20" s="6">
        <f>$B20*Prices!CQ20</f>
        <v>32737.226368000003</v>
      </c>
      <c r="CR20" s="6">
        <f>$B20*Prices!CR20</f>
        <v>36570.267271999997</v>
      </c>
      <c r="CS20" s="6">
        <f>$B20*Prices!CS20</f>
        <v>37588.322772</v>
      </c>
      <c r="CT20" s="6">
        <f>$B20*Prices!CT20</f>
        <v>36790.599075999999</v>
      </c>
      <c r="CU20" s="6">
        <f>$B20*Prices!CU20</f>
        <v>35102.760307999997</v>
      </c>
      <c r="CV20" s="6">
        <f>$B20*Prices!CV20</f>
        <v>35198.239692000003</v>
      </c>
      <c r="CW20" s="6">
        <f>$B20*Prices!CW20</f>
        <v>35429.239692000003</v>
      </c>
      <c r="CX20" s="6">
        <f>$B20*Prices!CX20</f>
        <v>33695.200616000002</v>
      </c>
      <c r="CY20" s="6">
        <f>$B20*Prices!CY20</f>
        <v>33824.559999999998</v>
      </c>
      <c r="CZ20" s="6">
        <f>$B20*Prices!CZ20</f>
        <v>33750.640615999997</v>
      </c>
      <c r="DA20" s="6">
        <f>$B20*Prices!DA20</f>
        <v>35478.520616000002</v>
      </c>
      <c r="DB20" s="6">
        <f>$B20*Prices!DB20</f>
        <v>34994.960923999999</v>
      </c>
      <c r="DC20" s="6"/>
      <c r="DD20" s="6"/>
      <c r="DE20" s="6"/>
      <c r="DF20" s="6"/>
      <c r="DG20" s="6"/>
      <c r="DH20" s="6"/>
      <c r="DI20" s="6"/>
      <c r="DJ20" s="6"/>
    </row>
    <row r="21" spans="1:114">
      <c r="A21" s="3" t="s">
        <v>18</v>
      </c>
      <c r="B21">
        <v>349</v>
      </c>
      <c r="C21" s="6">
        <f>$B21*Prices!C21</f>
        <v>23941.399999999998</v>
      </c>
      <c r="D21" s="6">
        <f>$B21*Prices!D21</f>
        <v>23316.690000000002</v>
      </c>
      <c r="E21" s="6">
        <f>$B21*Prices!E21</f>
        <v>22828.09</v>
      </c>
      <c r="F21" s="6">
        <f>$B21*Prices!F21</f>
        <v>23020.039999999997</v>
      </c>
      <c r="G21" s="6">
        <f>$B21*Prices!G21</f>
        <v>23215.48</v>
      </c>
      <c r="H21" s="6">
        <f>$B21*Prices!H21</f>
        <v>23337.63</v>
      </c>
      <c r="I21" s="6">
        <f>$B21*Prices!I21</f>
        <v>23253.87</v>
      </c>
      <c r="J21" s="6">
        <f>$B21*Prices!J21</f>
        <v>23222.460000000003</v>
      </c>
      <c r="K21" s="6">
        <f>$B21*Prices!K21</f>
        <v>23257.360000000001</v>
      </c>
      <c r="L21" s="6">
        <f>$B21*Prices!L21</f>
        <v>23341.119999999999</v>
      </c>
      <c r="M21" s="6">
        <f>$B21*Prices!M21</f>
        <v>23257.360000000001</v>
      </c>
      <c r="N21" s="6">
        <f>$B21*Prices!N21</f>
        <v>23163.13</v>
      </c>
      <c r="O21" s="6">
        <f>$B21*Prices!O21</f>
        <v>23428.37</v>
      </c>
      <c r="P21" s="6">
        <f>$B21*Prices!P21</f>
        <v>23438.84</v>
      </c>
      <c r="Q21" s="6">
        <f>$B21*Prices!Q21</f>
        <v>23456.289999999997</v>
      </c>
      <c r="R21" s="6">
        <f>$B21*Prices!R21</f>
        <v>23295.75</v>
      </c>
      <c r="S21" s="6">
        <f>$B21*Prices!S21</f>
        <v>23281.789999999997</v>
      </c>
      <c r="T21" s="6">
        <f>$B21*Prices!T21</f>
        <v>23376.02</v>
      </c>
      <c r="U21" s="6">
        <f>$B21*Prices!U21</f>
        <v>23658.710000000003</v>
      </c>
      <c r="V21" s="6">
        <f>$B21*Prices!V21</f>
        <v>23620.320000000003</v>
      </c>
      <c r="W21" s="6">
        <f>$B21*Prices!W21</f>
        <v>23669.179999999997</v>
      </c>
      <c r="X21" s="6">
        <f>$B21*Prices!X21</f>
        <v>23581.929999999997</v>
      </c>
      <c r="Y21" s="6">
        <f>$B21*Prices!Y21</f>
        <v>23487.7</v>
      </c>
      <c r="Z21" s="6">
        <f>$B21*Prices!Z21</f>
        <v>23759.919999999998</v>
      </c>
      <c r="AA21" s="6">
        <f>$B21*Prices!AA21</f>
        <v>23669.179999999997</v>
      </c>
      <c r="AB21" s="6">
        <f>$B21*Prices!AB21</f>
        <v>23815.759999999998</v>
      </c>
      <c r="AC21" s="6">
        <f>$B21*Prices!AC21</f>
        <v>23941.399999999998</v>
      </c>
      <c r="AD21" s="6">
        <f>$B21*Prices!AD21</f>
        <v>23707.570000000003</v>
      </c>
      <c r="AE21" s="6">
        <f>$B21*Prices!AE21</f>
        <v>23543.539999999997</v>
      </c>
      <c r="AF21" s="6">
        <f>$B21*Prices!AF21</f>
        <v>23463.27</v>
      </c>
      <c r="AG21" s="6">
        <f>$B21*Prices!AG21</f>
        <v>23972.809999999998</v>
      </c>
      <c r="AH21" s="6">
        <f>$B21*Prices!AH21</f>
        <v>24035.63</v>
      </c>
      <c r="AI21" s="6">
        <f>$B21*Prices!AI21</f>
        <v>23676.16</v>
      </c>
      <c r="AJ21" s="6">
        <f>$B21*Prices!AJ21</f>
        <v>23826.23</v>
      </c>
      <c r="AK21" s="6">
        <f>$B21*Prices!AK21</f>
        <v>23850.66</v>
      </c>
      <c r="AL21" s="6">
        <f>$B21*Prices!AL21</f>
        <v>24028.649999999998</v>
      </c>
      <c r="AM21" s="6">
        <f>$B21*Prices!AM21</f>
        <v>23983.279999999999</v>
      </c>
      <c r="AN21" s="6">
        <f>$B21*Prices!AN21</f>
        <v>23923.95</v>
      </c>
      <c r="AO21" s="6">
        <f>$B21*Prices!AO21</f>
        <v>23934.42</v>
      </c>
      <c r="AP21" s="6">
        <f>$B21*Prices!AP21</f>
        <v>24143.820000000003</v>
      </c>
      <c r="AQ21" s="6">
        <f>$B21*Prices!AQ21</f>
        <v>24007.710000000003</v>
      </c>
      <c r="AR21" s="6">
        <f>$B21*Prices!AR21</f>
        <v>24025.16</v>
      </c>
      <c r="AS21" s="6">
        <f>$B21*Prices!AS21</f>
        <v>23773.88</v>
      </c>
      <c r="AT21" s="6">
        <f>$B21*Prices!AT21</f>
        <v>23738.98</v>
      </c>
      <c r="AU21" s="6">
        <f>$B21*Prices!AU21</f>
        <v>23903.01</v>
      </c>
      <c r="AV21" s="6">
        <f>$B21*Prices!AV21</f>
        <v>23574.95</v>
      </c>
      <c r="AW21" s="6">
        <f>$B21*Prices!AW21</f>
        <v>24175.23</v>
      </c>
      <c r="AX21" s="6">
        <f>$B21*Prices!AX21</f>
        <v>24381.14</v>
      </c>
      <c r="AY21" s="6">
        <f>$B21*Prices!AY21</f>
        <v>24482.350000000002</v>
      </c>
      <c r="AZ21" s="6">
        <f>$B21*Prices!AZ21</f>
        <v>24478.86</v>
      </c>
      <c r="BA21" s="6">
        <f>$B21*Prices!BA21</f>
        <v>24531.210000000003</v>
      </c>
      <c r="BB21" s="6">
        <f>$B21*Prices!BB21</f>
        <v>24709.200000000001</v>
      </c>
      <c r="BC21" s="6">
        <f>$B21*Prices!BC21</f>
        <v>24691.75</v>
      </c>
      <c r="BD21" s="6">
        <f>$B21*Prices!BD21</f>
        <v>24841.820000000003</v>
      </c>
      <c r="BE21" s="6">
        <f>$B21*Prices!BE21</f>
        <v>24880.210000000003</v>
      </c>
      <c r="BF21" s="6">
        <f>$B21*Prices!BF21</f>
        <v>24614.97</v>
      </c>
      <c r="BG21" s="6">
        <f>$B21*Prices!BG21</f>
        <v>24642.89</v>
      </c>
      <c r="BH21" s="6">
        <f>$B21*Prices!BH21</f>
        <v>24534.7</v>
      </c>
      <c r="BI21" s="6">
        <f>$B21*Prices!BI21</f>
        <v>24464.899999999998</v>
      </c>
      <c r="BJ21" s="6">
        <f>$B21*Prices!BJ21</f>
        <v>24328.789999999997</v>
      </c>
      <c r="BK21" s="6">
        <f>$B21*Prices!BK21</f>
        <v>24021.67</v>
      </c>
      <c r="BL21" s="6">
        <f>$B21*Prices!BL21</f>
        <v>24245.03</v>
      </c>
      <c r="BM21" s="6">
        <f>$B21*Prices!BM21</f>
        <v>25749.22</v>
      </c>
      <c r="BN21" s="6">
        <f>$B21*Prices!BN21</f>
        <v>26150.570000000003</v>
      </c>
      <c r="BO21" s="6">
        <f>$B21*Prices!BO21</f>
        <v>26314.600000000002</v>
      </c>
      <c r="BP21" s="6">
        <f>$B21*Prices!BP21</f>
        <v>26429.77</v>
      </c>
      <c r="BQ21" s="6">
        <f>$B21*Prices!BQ21</f>
        <v>26632.190000000002</v>
      </c>
      <c r="BR21" s="6">
        <f>$B21*Prices!BR21</f>
        <v>26534.47</v>
      </c>
      <c r="BS21" s="6">
        <f>$B21*Prices!BS21</f>
        <v>26995.149999999998</v>
      </c>
      <c r="BT21" s="6">
        <f>$B21*Prices!BT21</f>
        <v>26562.39</v>
      </c>
      <c r="BU21" s="6">
        <f>$B21*Prices!BU21</f>
        <v>26506.55</v>
      </c>
      <c r="BV21" s="6">
        <f>$B21*Prices!BV21</f>
        <v>26653.13</v>
      </c>
      <c r="BW21" s="6">
        <f>$B21*Prices!BW21</f>
        <v>26764.809999999998</v>
      </c>
      <c r="BX21" s="6">
        <f>$B21*Prices!BX21</f>
        <v>26548.429999999997</v>
      </c>
      <c r="BY21" s="6">
        <f>$B21*Prices!BY21</f>
        <v>26363.460000000003</v>
      </c>
      <c r="BZ21" s="6">
        <f>$B21*Prices!BZ21</f>
        <v>26230.84</v>
      </c>
      <c r="CA21" s="6">
        <f>$B21*Prices!CA21</f>
        <v>26618.228953000002</v>
      </c>
      <c r="CB21" s="6">
        <f>$B21*Prices!CB21</f>
        <v>25972.579302000002</v>
      </c>
      <c r="CC21" s="6">
        <f>$B21*Prices!CC21</f>
        <v>25756.201047000002</v>
      </c>
      <c r="CD21" s="6">
        <f>$B21*Prices!CD21</f>
        <v>25449.079302000002</v>
      </c>
      <c r="CE21" s="6">
        <f>$B21*Prices!CE21</f>
        <v>24482.350698000002</v>
      </c>
      <c r="CF21" s="6">
        <f>$B21*Prices!CF21</f>
        <v>23581.929999999997</v>
      </c>
      <c r="CG21" s="6">
        <f>$B21*Prices!CG21</f>
        <v>25281.560698000001</v>
      </c>
      <c r="CH21" s="6">
        <f>$B21*Prices!CH21</f>
        <v>25051.219651000003</v>
      </c>
      <c r="CI21" s="6">
        <f>$B21*Prices!CI21</f>
        <v>26304.131046999999</v>
      </c>
      <c r="CJ21" s="6">
        <f>$B21*Prices!CJ21</f>
        <v>25246.658604</v>
      </c>
      <c r="CK21" s="6">
        <f>$B21*Prices!CK21</f>
        <v>25305.990698000001</v>
      </c>
      <c r="CL21" s="6">
        <f>$B21*Prices!CL21</f>
        <v>24426.509301999999</v>
      </c>
      <c r="CM21" s="6">
        <f>$B21*Prices!CM21</f>
        <v>25061.689301999999</v>
      </c>
      <c r="CN21" s="6">
        <f>$B21*Prices!CN21</f>
        <v>24046.100698000002</v>
      </c>
      <c r="CO21" s="6">
        <f>$B21*Prices!CO21</f>
        <v>22297.609651000002</v>
      </c>
      <c r="CP21" s="6">
        <f>$B21*Prices!CP21</f>
        <v>24115.899301999998</v>
      </c>
      <c r="CQ21" s="6">
        <f>$B21*Prices!CQ21</f>
        <v>21756.66</v>
      </c>
      <c r="CR21" s="6">
        <f>$B21*Prices!CR21</f>
        <v>24499.798952999998</v>
      </c>
      <c r="CS21" s="6">
        <f>$B21*Prices!CS21</f>
        <v>23623.810698000001</v>
      </c>
      <c r="CT21" s="6">
        <f>$B21*Prices!CT21</f>
        <v>23260.850698000002</v>
      </c>
      <c r="CU21" s="6">
        <f>$B21*Prices!CU21</f>
        <v>21665.920698000002</v>
      </c>
      <c r="CV21" s="6">
        <f>$B21*Prices!CV21</f>
        <v>21104.030349000001</v>
      </c>
      <c r="CW21" s="6">
        <f>$B21*Prices!CW21</f>
        <v>21351.82</v>
      </c>
      <c r="CX21" s="6">
        <f>$B21*Prices!CX21</f>
        <v>20901.609651000002</v>
      </c>
      <c r="CY21" s="6">
        <f>$B21*Prices!CY21</f>
        <v>22273.18</v>
      </c>
      <c r="CZ21" s="6">
        <f>$B21*Prices!CZ21</f>
        <v>22775.740698000001</v>
      </c>
      <c r="DA21" s="6">
        <f>$B21*Prices!DA21</f>
        <v>23236.420697999998</v>
      </c>
      <c r="DB21" s="6">
        <f>$B21*Prices!DB21</f>
        <v>23159.640348999998</v>
      </c>
      <c r="DC21" s="6"/>
      <c r="DD21" s="6"/>
      <c r="DE21" s="6"/>
      <c r="DF21" s="6"/>
      <c r="DG21" s="6"/>
      <c r="DH21" s="6"/>
      <c r="DI21" s="6"/>
      <c r="DJ21" s="6"/>
    </row>
    <row r="22" spans="1:114">
      <c r="A22" s="3" t="s">
        <v>19</v>
      </c>
      <c r="B22">
        <v>142</v>
      </c>
      <c r="C22" s="6">
        <f>$B22*Prices!C22</f>
        <v>11991.9</v>
      </c>
      <c r="D22" s="6">
        <f>$B22*Prices!D22</f>
        <v>11644</v>
      </c>
      <c r="E22" s="6">
        <f>$B22*Prices!E22</f>
        <v>11330.18</v>
      </c>
      <c r="F22" s="6">
        <f>$B22*Prices!F22</f>
        <v>11565.9</v>
      </c>
      <c r="G22" s="6">
        <f>$B22*Prices!G22</f>
        <v>11463.66</v>
      </c>
      <c r="H22" s="6">
        <f>$B22*Prices!H22</f>
        <v>11216.58</v>
      </c>
      <c r="I22" s="6">
        <f>$B22*Prices!I22</f>
        <v>11352.9</v>
      </c>
      <c r="J22" s="6">
        <f>$B22*Prices!J22</f>
        <v>10904.18</v>
      </c>
      <c r="K22" s="6">
        <f>$B22*Prices!K22</f>
        <v>11114.34</v>
      </c>
      <c r="L22" s="6">
        <f>$B22*Prices!L22</f>
        <v>11220.13</v>
      </c>
      <c r="M22" s="6">
        <f>$B22*Prices!M22</f>
        <v>11421.060000000001</v>
      </c>
      <c r="N22" s="6">
        <f>$B22*Prices!N22</f>
        <v>11475.02</v>
      </c>
      <c r="O22" s="6">
        <f>$B22*Prices!O22</f>
        <v>11320.24</v>
      </c>
      <c r="P22" s="6">
        <f>$B22*Prices!P22</f>
        <v>10983.699999999999</v>
      </c>
      <c r="Q22" s="6">
        <f>$B22*Prices!Q22</f>
        <v>11093.04</v>
      </c>
      <c r="R22" s="6">
        <f>$B22*Prices!R22</f>
        <v>11164.04</v>
      </c>
      <c r="S22" s="6">
        <f>$B22*Prices!S22</f>
        <v>10982.28</v>
      </c>
      <c r="T22" s="6">
        <f>$B22*Prices!T22</f>
        <v>10973.76</v>
      </c>
      <c r="U22" s="6">
        <f>$B22*Prices!U22</f>
        <v>11279.060000000001</v>
      </c>
      <c r="V22" s="6">
        <f>$B22*Prices!V22</f>
        <v>11595.72</v>
      </c>
      <c r="W22" s="6">
        <f>$B22*Prices!W22</f>
        <v>11780.32</v>
      </c>
      <c r="X22" s="6">
        <f>$B22*Prices!X22</f>
        <v>11256.34</v>
      </c>
      <c r="Y22" s="6">
        <f>$B22*Prices!Y22</f>
        <v>10814.72</v>
      </c>
      <c r="Z22" s="6">
        <f>$B22*Prices!Z22</f>
        <v>10492.38</v>
      </c>
      <c r="AA22" s="6">
        <f>$B22*Prices!AA22</f>
        <v>10459.719999999999</v>
      </c>
      <c r="AB22" s="6">
        <f>$B22*Prices!AB22</f>
        <v>10823.24</v>
      </c>
      <c r="AC22" s="6">
        <f>$B22*Prices!AC22</f>
        <v>10515.1</v>
      </c>
      <c r="AD22" s="6">
        <f>$B22*Prices!AD22</f>
        <v>10600.300000000001</v>
      </c>
      <c r="AE22" s="6">
        <f>$B22*Prices!AE22</f>
        <v>10777.800000000001</v>
      </c>
      <c r="AF22" s="6">
        <f>$B22*Prices!AF22</f>
        <v>10682.66</v>
      </c>
      <c r="AG22" s="6">
        <f>$B22*Prices!AG22</f>
        <v>10652.84</v>
      </c>
      <c r="AH22" s="6">
        <f>$B22*Prices!AH22</f>
        <v>10451.199999999999</v>
      </c>
      <c r="AI22" s="6">
        <f>$B22*Prices!AI22</f>
        <v>10838.86</v>
      </c>
      <c r="AJ22" s="6">
        <f>$B22*Prices!AJ22</f>
        <v>10976.6</v>
      </c>
      <c r="AK22" s="6">
        <f>$B22*Prices!AK22</f>
        <v>10985.12</v>
      </c>
      <c r="AL22" s="6">
        <f>$B22*Prices!AL22</f>
        <v>10911.28</v>
      </c>
      <c r="AM22" s="6">
        <f>$B22*Prices!AM22</f>
        <v>11039.08</v>
      </c>
      <c r="AN22" s="6">
        <f>$B22*Prices!AN22</f>
        <v>11037.66</v>
      </c>
      <c r="AO22" s="6">
        <f>$B22*Prices!AO22</f>
        <v>10848.800000000001</v>
      </c>
      <c r="AP22" s="6">
        <f>$B22*Prices!AP22</f>
        <v>10740.88</v>
      </c>
      <c r="AQ22" s="6">
        <f>$B22*Prices!AQ22</f>
        <v>10529.300000000001</v>
      </c>
      <c r="AR22" s="6">
        <f>$B22*Prices!AR22</f>
        <v>10735.199999999999</v>
      </c>
      <c r="AS22" s="6">
        <f>$B22*Prices!AS22</f>
        <v>10740.88</v>
      </c>
      <c r="AT22" s="6">
        <f>$B22*Prices!AT22</f>
        <v>10708.22</v>
      </c>
      <c r="AU22" s="6">
        <f>$B22*Prices!AU22</f>
        <v>10591.78</v>
      </c>
      <c r="AV22" s="6">
        <f>$B22*Prices!AV22</f>
        <v>11912.38</v>
      </c>
      <c r="AW22" s="6">
        <f>$B22*Prices!AW22</f>
        <v>11570.16</v>
      </c>
      <c r="AX22" s="6">
        <f>$B22*Prices!AX22</f>
        <v>12815.5</v>
      </c>
      <c r="AY22" s="6">
        <f>$B22*Prices!AY22</f>
        <v>13641.939999999999</v>
      </c>
      <c r="AZ22" s="6">
        <f>$B22*Prices!AZ22</f>
        <v>16236.28</v>
      </c>
      <c r="BA22" s="6">
        <f>$B22*Prices!BA22</f>
        <v>16621.099999999999</v>
      </c>
      <c r="BB22" s="6">
        <f>$B22*Prices!BB22</f>
        <v>15205.36</v>
      </c>
      <c r="BC22" s="6">
        <f>$B22*Prices!BC22</f>
        <v>15676.800000000001</v>
      </c>
      <c r="BD22" s="6">
        <f>$B22*Prices!BD22</f>
        <v>15495.04</v>
      </c>
      <c r="BE22" s="6">
        <f>$B22*Prices!BE22</f>
        <v>18343.560000000001</v>
      </c>
      <c r="BF22" s="6">
        <f>$B22*Prices!BF22</f>
        <v>17380.8</v>
      </c>
      <c r="BG22" s="6">
        <f>$B22*Prices!BG22</f>
        <v>16846.88</v>
      </c>
      <c r="BH22" s="6">
        <f>$B22*Prices!BH22</f>
        <v>16967.579999999998</v>
      </c>
      <c r="BI22" s="6">
        <f>$B22*Prices!BI22</f>
        <v>17714.5</v>
      </c>
      <c r="BJ22" s="6">
        <f>$B22*Prices!BJ22</f>
        <v>17057.04</v>
      </c>
      <c r="BK22" s="6">
        <f>$B22*Prices!BK22</f>
        <v>16312.96</v>
      </c>
      <c r="BL22" s="6">
        <f>$B22*Prices!BL22</f>
        <v>16655.18</v>
      </c>
      <c r="BM22" s="6">
        <f>$B22*Prices!BM22</f>
        <v>15679.64</v>
      </c>
      <c r="BN22" s="6">
        <f>$B22*Prices!BN22</f>
        <v>15052</v>
      </c>
      <c r="BO22" s="6">
        <f>$B22*Prices!BO22</f>
        <v>15681.060000000001</v>
      </c>
      <c r="BP22" s="6">
        <f>$B22*Prices!BP22</f>
        <v>15644.14</v>
      </c>
      <c r="BQ22" s="6">
        <f>$B22*Prices!BQ22</f>
        <v>15888.38</v>
      </c>
      <c r="BR22" s="6">
        <f>$B22*Prices!BR22</f>
        <v>16534.48</v>
      </c>
      <c r="BS22" s="6">
        <f>$B22*Prices!BS22</f>
        <v>17001.66</v>
      </c>
      <c r="BT22" s="6">
        <f>$B22*Prices!BT22</f>
        <v>16633.88</v>
      </c>
      <c r="BU22" s="6">
        <f>$B22*Prices!BU22</f>
        <v>16291.66</v>
      </c>
      <c r="BV22" s="6">
        <f>$B22*Prices!BV22</f>
        <v>15905.42</v>
      </c>
      <c r="BW22" s="6">
        <f>$B22*Prices!BW22</f>
        <v>16503.240000000002</v>
      </c>
      <c r="BX22" s="6">
        <f>$B22*Prices!BX22</f>
        <v>17328.259999999998</v>
      </c>
      <c r="BY22" s="6">
        <f>$B22*Prices!BY22</f>
        <v>17906.2</v>
      </c>
      <c r="BZ22" s="6">
        <f>$B22*Prices!BZ22</f>
        <v>17122.36</v>
      </c>
      <c r="CA22" s="6">
        <f>$B22*Prices!CA22</f>
        <v>16677.899573999999</v>
      </c>
      <c r="CB22" s="6">
        <f>$B22*Prices!CB22</f>
        <v>16182.319857999999</v>
      </c>
      <c r="CC22" s="6">
        <f>$B22*Prices!CC22</f>
        <v>15608.639716000001</v>
      </c>
      <c r="CD22" s="6">
        <f>$B22*Prices!CD22</f>
        <v>15976.420284</v>
      </c>
      <c r="CE22" s="6">
        <f>$B22*Prices!CE22</f>
        <v>15071.879858</v>
      </c>
      <c r="CF22" s="6">
        <f>$B22*Prices!CF22</f>
        <v>12730.300284000001</v>
      </c>
      <c r="CG22" s="6">
        <f>$B22*Prices!CG22</f>
        <v>13646.199715999999</v>
      </c>
      <c r="CH22" s="6">
        <f>$B22*Prices!CH22</f>
        <v>13551.060000000001</v>
      </c>
      <c r="CI22" s="6">
        <f>$B22*Prices!CI22</f>
        <v>14468.379858</v>
      </c>
      <c r="CJ22" s="6">
        <f>$B22*Prices!CJ22</f>
        <v>13613.540426</v>
      </c>
      <c r="CK22" s="6">
        <f>$B22*Prices!CK22</f>
        <v>13644.779431999999</v>
      </c>
      <c r="CL22" s="6">
        <f>$B22*Prices!CL22</f>
        <v>12490.319857999999</v>
      </c>
      <c r="CM22" s="6">
        <f>$B22*Prices!CM22</f>
        <v>12919.160426</v>
      </c>
      <c r="CN22" s="6">
        <f>$B22*Prices!CN22</f>
        <v>11734.879858</v>
      </c>
      <c r="CO22" s="6">
        <f>$B22*Prices!CO22</f>
        <v>10508</v>
      </c>
      <c r="CP22" s="6">
        <f>$B22*Prices!CP22</f>
        <v>10374.519715999999</v>
      </c>
      <c r="CQ22" s="6">
        <f>$B22*Prices!CQ22</f>
        <v>8740.0998579999996</v>
      </c>
      <c r="CR22" s="6">
        <f>$B22*Prices!CR22</f>
        <v>8565.44</v>
      </c>
      <c r="CS22" s="6">
        <f>$B22*Prices!CS22</f>
        <v>7670.84</v>
      </c>
      <c r="CT22" s="6">
        <f>$B22*Prices!CT22</f>
        <v>8140.8602840000003</v>
      </c>
      <c r="CU22" s="6">
        <f>$B22*Prices!CU22</f>
        <v>8234.5802839999997</v>
      </c>
      <c r="CV22" s="6">
        <f>$B22*Prices!CV22</f>
        <v>8172.0998579999996</v>
      </c>
      <c r="CW22" s="6">
        <f>$B22*Prices!CW22</f>
        <v>9575.0600000000013</v>
      </c>
      <c r="CX22" s="6">
        <f>$B22*Prices!CX22</f>
        <v>10366</v>
      </c>
      <c r="CY22" s="6">
        <f>$B22*Prices!CY22</f>
        <v>10096.199715999999</v>
      </c>
      <c r="CZ22" s="6">
        <f>$B22*Prices!CZ22</f>
        <v>9389.0404259999996</v>
      </c>
      <c r="DA22" s="6">
        <f>$B22*Prices!DA22</f>
        <v>9384.7794319999994</v>
      </c>
      <c r="DB22" s="6">
        <f>$B22*Prices!DB22</f>
        <v>9457.1997159999992</v>
      </c>
      <c r="DC22" s="6"/>
      <c r="DD22" s="6"/>
      <c r="DE22" s="6"/>
      <c r="DF22" s="6"/>
      <c r="DG22" s="6"/>
      <c r="DH22" s="6"/>
      <c r="DI22" s="6"/>
      <c r="DJ22" s="6"/>
    </row>
    <row r="23" spans="1:114">
      <c r="A23" s="2" t="s">
        <v>20</v>
      </c>
      <c r="C23" s="6">
        <f>SUM(C24:C26)</f>
        <v>59964.71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>
        <f>SUM(BM24:BM26)</f>
        <v>59640.71</v>
      </c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>
        <f>SUM(BZ24:BZ26)</f>
        <v>58459.64</v>
      </c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</row>
    <row r="24" spans="1:114">
      <c r="A24" s="3" t="s">
        <v>21</v>
      </c>
      <c r="B24">
        <v>465</v>
      </c>
      <c r="C24" s="6">
        <f>$B24*Prices!C24</f>
        <v>26956.05</v>
      </c>
      <c r="D24" s="6">
        <f>$B24*Prices!D24</f>
        <v>27267.599999999999</v>
      </c>
      <c r="E24" s="6">
        <f>$B24*Prices!E24</f>
        <v>27639.599999999999</v>
      </c>
      <c r="F24" s="6">
        <f>$B24*Prices!F24</f>
        <v>27974.399999999998</v>
      </c>
      <c r="G24" s="6">
        <f>$B24*Prices!G24</f>
        <v>27839.55</v>
      </c>
      <c r="H24" s="6">
        <f>$B24*Prices!H24</f>
        <v>28072.05</v>
      </c>
      <c r="I24" s="6">
        <f>$B24*Prices!I24</f>
        <v>28016.25</v>
      </c>
      <c r="J24" s="6">
        <f>$B24*Prices!J24</f>
        <v>27983.7</v>
      </c>
      <c r="K24" s="6">
        <f>$B24*Prices!K24</f>
        <v>27848.85</v>
      </c>
      <c r="L24" s="6">
        <f>$B24*Prices!L24</f>
        <v>28034.85</v>
      </c>
      <c r="M24" s="6">
        <f>$B24*Prices!M24</f>
        <v>27495.45</v>
      </c>
      <c r="N24" s="6">
        <f>$B24*Prices!N24</f>
        <v>27700.05</v>
      </c>
      <c r="O24" s="6">
        <f>$B24*Prices!O24</f>
        <v>27630.3</v>
      </c>
      <c r="P24" s="6">
        <f>$B24*Prices!P24</f>
        <v>27309.449999999997</v>
      </c>
      <c r="Q24" s="6">
        <f>$B24*Prices!Q24</f>
        <v>27174.6</v>
      </c>
      <c r="R24" s="6">
        <f>$B24*Prices!R24</f>
        <v>27281.55</v>
      </c>
      <c r="S24" s="6">
        <f>$B24*Prices!S24</f>
        <v>27174.6</v>
      </c>
      <c r="T24" s="6">
        <f>$B24*Prices!T24</f>
        <v>27267.599999999999</v>
      </c>
      <c r="U24" s="6">
        <f>$B24*Prices!U24</f>
        <v>26956.05</v>
      </c>
      <c r="V24" s="6">
        <f>$B24*Prices!V24</f>
        <v>26877</v>
      </c>
      <c r="W24" s="6">
        <f>$B24*Prices!W24</f>
        <v>26732.850000000002</v>
      </c>
      <c r="X24" s="6">
        <f>$B24*Prices!X24</f>
        <v>26565.45</v>
      </c>
      <c r="Y24" s="6">
        <f>$B24*Prices!Y24</f>
        <v>26137.65</v>
      </c>
      <c r="Z24" s="6">
        <f>$B24*Prices!Z24</f>
        <v>26430.600000000002</v>
      </c>
      <c r="AA24" s="6">
        <f>$B24*Prices!AA24</f>
        <v>26267.850000000002</v>
      </c>
      <c r="AB24" s="6">
        <f>$B24*Prices!AB24</f>
        <v>26639.85</v>
      </c>
      <c r="AC24" s="6">
        <f>$B24*Prices!AC24</f>
        <v>26630.550000000003</v>
      </c>
      <c r="AD24" s="6">
        <f>$B24*Prices!AD24</f>
        <v>26672.400000000001</v>
      </c>
      <c r="AE24" s="6">
        <f>$B24*Prices!AE24</f>
        <v>26691</v>
      </c>
      <c r="AF24" s="6">
        <f>$B24*Prices!AF24</f>
        <v>26858.399999999998</v>
      </c>
      <c r="AG24" s="6">
        <f>$B24*Prices!AG24</f>
        <v>26709.599999999999</v>
      </c>
      <c r="AH24" s="6">
        <f>$B24*Prices!AH24</f>
        <v>27044.399999999998</v>
      </c>
      <c r="AI24" s="6">
        <f>$B24*Prices!AI24</f>
        <v>27188.55</v>
      </c>
      <c r="AJ24" s="6">
        <f>$B24*Prices!AJ24</f>
        <v>27211.800000000003</v>
      </c>
      <c r="AK24" s="6">
        <f>$B24*Prices!AK24</f>
        <v>27388.5</v>
      </c>
      <c r="AL24" s="6">
        <f>$B24*Prices!AL24</f>
        <v>27053.7</v>
      </c>
      <c r="AM24" s="6">
        <f>$B24*Prices!AM24</f>
        <v>27342</v>
      </c>
      <c r="AN24" s="6">
        <f>$B24*Prices!AN24</f>
        <v>27295.5</v>
      </c>
      <c r="AO24" s="6">
        <f>$B24*Prices!AO24</f>
        <v>27374.55</v>
      </c>
      <c r="AP24" s="6">
        <f>$B24*Prices!AP24</f>
        <v>27476.850000000002</v>
      </c>
      <c r="AQ24" s="6">
        <f>$B24*Prices!AQ24</f>
        <v>27286.2</v>
      </c>
      <c r="AR24" s="6">
        <f>$B24*Prices!AR24</f>
        <v>27425.699999999997</v>
      </c>
      <c r="AS24" s="6">
        <f>$B24*Prices!AS24</f>
        <v>27779.100000000002</v>
      </c>
      <c r="AT24" s="6">
        <f>$B24*Prices!AT24</f>
        <v>27997.65</v>
      </c>
      <c r="AU24" s="6">
        <f>$B24*Prices!AU24</f>
        <v>28346.400000000001</v>
      </c>
      <c r="AV24" s="6">
        <f>$B24*Prices!AV24</f>
        <v>28086</v>
      </c>
      <c r="AW24" s="6">
        <f>$B24*Prices!AW24</f>
        <v>27755.85</v>
      </c>
      <c r="AX24" s="6">
        <f>$B24*Prices!AX24</f>
        <v>27751.200000000001</v>
      </c>
      <c r="AY24" s="6">
        <f>$B24*Prices!AY24</f>
        <v>27439.649999999998</v>
      </c>
      <c r="AZ24" s="6">
        <f>$B24*Prices!AZ24</f>
        <v>27416.400000000001</v>
      </c>
      <c r="BA24" s="6">
        <f>$B24*Prices!BA24</f>
        <v>27397.8</v>
      </c>
      <c r="BB24" s="6">
        <f>$B24*Prices!BB24</f>
        <v>27351.3</v>
      </c>
      <c r="BC24" s="6">
        <f>$B24*Prices!BC24</f>
        <v>27328.050000000003</v>
      </c>
      <c r="BD24" s="6">
        <f>$B24*Prices!BD24</f>
        <v>27221.1</v>
      </c>
      <c r="BE24" s="6">
        <f>$B24*Prices!BE24</f>
        <v>26718.9</v>
      </c>
      <c r="BF24" s="6">
        <f>$B24*Prices!BF24</f>
        <v>26709.599999999999</v>
      </c>
      <c r="BG24" s="6">
        <f>$B24*Prices!BG24</f>
        <v>26691</v>
      </c>
      <c r="BH24" s="6">
        <f>$B24*Prices!BH24</f>
        <v>26584.05</v>
      </c>
      <c r="BI24" s="6">
        <f>$B24*Prices!BI24</f>
        <v>26081.850000000002</v>
      </c>
      <c r="BJ24" s="6">
        <f>$B24*Prices!BJ24</f>
        <v>26002.799999999999</v>
      </c>
      <c r="BK24" s="6">
        <f>$B24*Prices!BK24</f>
        <v>25914.449999999997</v>
      </c>
      <c r="BL24" s="6">
        <f>$B24*Prices!BL24</f>
        <v>25035.600000000002</v>
      </c>
      <c r="BM24" s="6">
        <f>$B24*Prices!BM24</f>
        <v>24249.75</v>
      </c>
      <c r="BN24" s="6">
        <f>$B24*Prices!BN24</f>
        <v>23826.600000000002</v>
      </c>
      <c r="BO24" s="6">
        <f>$B24*Prices!BO24</f>
        <v>24017.25</v>
      </c>
      <c r="BP24" s="6">
        <f>$B24*Prices!BP24</f>
        <v>24621.75</v>
      </c>
      <c r="BQ24" s="6">
        <f>$B24*Prices!BQ24</f>
        <v>24245.1</v>
      </c>
      <c r="BR24" s="6">
        <f>$B24*Prices!BR24</f>
        <v>24082.35</v>
      </c>
      <c r="BS24" s="6">
        <f>$B24*Prices!BS24</f>
        <v>23896.35</v>
      </c>
      <c r="BT24" s="6">
        <f>$B24*Prices!BT24</f>
        <v>24175.350000000002</v>
      </c>
      <c r="BU24" s="6">
        <f>$B24*Prices!BU24</f>
        <v>24482.25</v>
      </c>
      <c r="BV24" s="6">
        <f>$B24*Prices!BV24</f>
        <v>23710.350000000002</v>
      </c>
      <c r="BW24" s="6">
        <f>$B24*Prices!BW24</f>
        <v>23477.850000000002</v>
      </c>
      <c r="BX24" s="6">
        <f>$B24*Prices!BX24</f>
        <v>23347.65</v>
      </c>
      <c r="BY24" s="6">
        <f>$B24*Prices!BY24</f>
        <v>23352.3</v>
      </c>
      <c r="BZ24" s="6">
        <f>$B24*Prices!BZ24</f>
        <v>23073.3</v>
      </c>
      <c r="CA24" s="6">
        <f>$B24*Prices!CA24</f>
        <v>22864.049070000001</v>
      </c>
      <c r="CB24" s="6">
        <f>$B24*Prices!CB24</f>
        <v>21985.199535</v>
      </c>
      <c r="CC24" s="6">
        <f>$B24*Prices!CC24</f>
        <v>21343.500930000002</v>
      </c>
      <c r="CD24" s="6">
        <f>$B24*Prices!CD24</f>
        <v>21273.75</v>
      </c>
      <c r="CE24" s="6">
        <f>$B24*Prices!CE24</f>
        <v>20432.099535000001</v>
      </c>
      <c r="CF24" s="6">
        <f>$B24*Prices!CF24</f>
        <v>20473.949535</v>
      </c>
      <c r="CG24" s="6">
        <f>$B24*Prices!CG24</f>
        <v>20845.950929999999</v>
      </c>
      <c r="CH24" s="6">
        <f>$B24*Prices!CH24</f>
        <v>20441.399535</v>
      </c>
      <c r="CI24" s="6">
        <f>$B24*Prices!CI24</f>
        <v>21064.499534999999</v>
      </c>
      <c r="CJ24" s="6">
        <f>$B24*Prices!CJ24</f>
        <v>20334.449999999997</v>
      </c>
      <c r="CK24" s="6">
        <f>$B24*Prices!CK24</f>
        <v>19469.549534999998</v>
      </c>
      <c r="CL24" s="6">
        <f>$B24*Prices!CL24</f>
        <v>16126.2</v>
      </c>
      <c r="CM24" s="6">
        <f>$B24*Prices!CM24</f>
        <v>17186.399535</v>
      </c>
      <c r="CN24" s="6">
        <f>$B24*Prices!CN24</f>
        <v>16037.850929999999</v>
      </c>
      <c r="CO24" s="6">
        <f>$B24*Prices!CO24</f>
        <v>13638.449999999999</v>
      </c>
      <c r="CP24" s="6">
        <f>$B24*Prices!CP24</f>
        <v>13987.199999999999</v>
      </c>
      <c r="CQ24" s="6">
        <f>$B24*Prices!CQ24</f>
        <v>11773.8</v>
      </c>
      <c r="CR24" s="6">
        <f>$B24*Prices!CR24</f>
        <v>11931.9</v>
      </c>
      <c r="CS24" s="6">
        <f>$B24*Prices!CS24</f>
        <v>10053.300464999998</v>
      </c>
      <c r="CT24" s="6">
        <f>$B24*Prices!CT24</f>
        <v>11178.600465</v>
      </c>
      <c r="CU24" s="6">
        <f>$B24*Prices!CU24</f>
        <v>11662.199999999999</v>
      </c>
      <c r="CV24" s="6">
        <f>$B24*Prices!CV24</f>
        <v>12475.949999999999</v>
      </c>
      <c r="CW24" s="6">
        <f>$B24*Prices!CW24</f>
        <v>14931.150464999999</v>
      </c>
      <c r="CX24" s="6">
        <f>$B24*Prices!CX24</f>
        <v>15968.100000000002</v>
      </c>
      <c r="CY24" s="6">
        <f>$B24*Prices!CY24</f>
        <v>16242.45</v>
      </c>
      <c r="CZ24" s="6">
        <f>$B24*Prices!CZ24</f>
        <v>14712.599534999999</v>
      </c>
      <c r="DA24" s="6">
        <f>$B24*Prices!DA24</f>
        <v>15549.599534999999</v>
      </c>
      <c r="DB24" s="6">
        <f>$B24*Prices!DB24</f>
        <v>16223.849535000001</v>
      </c>
      <c r="DC24" s="6"/>
      <c r="DD24" s="6"/>
      <c r="DE24" s="6"/>
      <c r="DF24" s="6"/>
      <c r="DG24" s="6"/>
      <c r="DH24" s="6"/>
      <c r="DI24" s="6"/>
      <c r="DJ24" s="6"/>
    </row>
    <row r="25" spans="1:114">
      <c r="A25" s="3" t="s">
        <v>22</v>
      </c>
      <c r="B25">
        <v>86</v>
      </c>
      <c r="C25" s="6">
        <f>$B25*Prices!C25</f>
        <v>5960.66</v>
      </c>
      <c r="D25" s="6">
        <f>$B25*Prices!D25</f>
        <v>6118.9000000000005</v>
      </c>
      <c r="E25" s="6">
        <f>$B25*Prices!E25</f>
        <v>6337.34</v>
      </c>
      <c r="F25" s="6">
        <f>$B25*Prices!F25</f>
        <v>6364.8600000000006</v>
      </c>
      <c r="G25" s="6">
        <f>$B25*Prices!G25</f>
        <v>6142.12</v>
      </c>
      <c r="H25" s="6">
        <f>$B25*Prices!H25</f>
        <v>6427.6399999999994</v>
      </c>
      <c r="I25" s="6">
        <f>$B25*Prices!I25</f>
        <v>6424.2</v>
      </c>
      <c r="J25" s="6">
        <f>$B25*Prices!J25</f>
        <v>6348.5199999999995</v>
      </c>
      <c r="K25" s="6">
        <f>$B25*Prices!K25</f>
        <v>6302.9400000000005</v>
      </c>
      <c r="L25" s="6">
        <f>$B25*Prices!L25</f>
        <v>6244.46</v>
      </c>
      <c r="M25" s="6">
        <f>$B25*Prices!M25</f>
        <v>6222.0999999999995</v>
      </c>
      <c r="N25" s="6">
        <f>$B25*Prices!N25</f>
        <v>6319.2800000000007</v>
      </c>
      <c r="O25" s="6">
        <f>$B25*Prices!O25</f>
        <v>6128.3600000000006</v>
      </c>
      <c r="P25" s="6">
        <f>$B25*Prices!P25</f>
        <v>6054.4000000000005</v>
      </c>
      <c r="Q25" s="6">
        <f>$B25*Prices!Q25</f>
        <v>6197.16</v>
      </c>
      <c r="R25" s="6">
        <f>$B25*Prices!R25</f>
        <v>6305.5199999999995</v>
      </c>
      <c r="S25" s="6">
        <f>$B25*Prices!S25</f>
        <v>6277.1399999999994</v>
      </c>
      <c r="T25" s="6">
        <f>$B25*Prices!T25</f>
        <v>6322.7199999999993</v>
      </c>
      <c r="U25" s="6">
        <f>$B25*Prices!U25</f>
        <v>6184.2599999999993</v>
      </c>
      <c r="V25" s="6">
        <f>$B25*Prices!V25</f>
        <v>6222.0999999999995</v>
      </c>
      <c r="W25" s="6">
        <f>$B25*Prices!W25</f>
        <v>6097.4000000000005</v>
      </c>
      <c r="X25" s="6">
        <f>$B25*Prices!X25</f>
        <v>6087.9400000000005</v>
      </c>
      <c r="Y25" s="6">
        <f>$B25*Prices!Y25</f>
        <v>5915.08</v>
      </c>
      <c r="Z25" s="6">
        <f>$B25*Prices!Z25</f>
        <v>6196.3</v>
      </c>
      <c r="AA25" s="6">
        <f>$B25*Prices!AA25</f>
        <v>6070.7400000000007</v>
      </c>
      <c r="AB25" s="6">
        <f>$B25*Prices!AB25</f>
        <v>6360.5599999999995</v>
      </c>
      <c r="AC25" s="6">
        <f>$B25*Prices!AC25</f>
        <v>6407.8600000000006</v>
      </c>
      <c r="AD25" s="6">
        <f>$B25*Prices!AD25</f>
        <v>6436.2400000000007</v>
      </c>
      <c r="AE25" s="6">
        <f>$B25*Prices!AE25</f>
        <v>6421.62</v>
      </c>
      <c r="AF25" s="6">
        <f>$B25*Prices!AF25</f>
        <v>6597.0599999999995</v>
      </c>
      <c r="AG25" s="6">
        <f>$B25*Prices!AG25</f>
        <v>6492.1399999999994</v>
      </c>
      <c r="AH25" s="6">
        <f>$B25*Prices!AH25</f>
        <v>6700.2599999999993</v>
      </c>
      <c r="AI25" s="6">
        <f>$B25*Prices!AI25</f>
        <v>6777.66</v>
      </c>
      <c r="AJ25" s="6">
        <f>$B25*Prices!AJ25</f>
        <v>6930.7400000000007</v>
      </c>
      <c r="AK25" s="6">
        <f>$B25*Prices!AK25</f>
        <v>6987.5</v>
      </c>
      <c r="AL25" s="6">
        <f>$B25*Prices!AL25</f>
        <v>7108.7599999999993</v>
      </c>
      <c r="AM25" s="6">
        <f>$B25*Prices!AM25</f>
        <v>7170.6799999999994</v>
      </c>
      <c r="AN25" s="6">
        <f>$B25*Prices!AN25</f>
        <v>7207.66</v>
      </c>
      <c r="AO25" s="6">
        <f>$B25*Prices!AO25</f>
        <v>7193.9000000000005</v>
      </c>
      <c r="AP25" s="6">
        <f>$B25*Prices!AP25</f>
        <v>7150.04</v>
      </c>
      <c r="AQ25" s="6">
        <f>$B25*Prices!AQ25</f>
        <v>7085.54</v>
      </c>
      <c r="AR25" s="6">
        <f>$B25*Prices!AR25</f>
        <v>7203.3600000000006</v>
      </c>
      <c r="AS25" s="6">
        <f>$B25*Prices!AS25</f>
        <v>7236.04</v>
      </c>
      <c r="AT25" s="6">
        <f>$B25*Prices!AT25</f>
        <v>7309.1399999999994</v>
      </c>
      <c r="AU25" s="6">
        <f>$B25*Prices!AU25</f>
        <v>7605.84</v>
      </c>
      <c r="AV25" s="6">
        <f>$B25*Prices!AV25</f>
        <v>7678.9400000000005</v>
      </c>
      <c r="AW25" s="6">
        <f>$B25*Prices!AW25</f>
        <v>7511.2400000000007</v>
      </c>
      <c r="AX25" s="6">
        <f>$B25*Prices!AX25</f>
        <v>7589.5</v>
      </c>
      <c r="AY25" s="6">
        <f>$B25*Prices!AY25</f>
        <v>7419.2199999999993</v>
      </c>
      <c r="AZ25" s="6">
        <f>$B25*Prices!AZ25</f>
        <v>7354.7199999999993</v>
      </c>
      <c r="BA25" s="6">
        <f>$B25*Prices!BA25</f>
        <v>7424.38</v>
      </c>
      <c r="BB25" s="6">
        <f>$B25*Prices!BB25</f>
        <v>7459.6399999999994</v>
      </c>
      <c r="BC25" s="6">
        <f>$B25*Prices!BC25</f>
        <v>7483.7199999999993</v>
      </c>
      <c r="BD25" s="6">
        <f>$B25*Prices!BD25</f>
        <v>7336.66</v>
      </c>
      <c r="BE25" s="6">
        <f>$B25*Prices!BE25</f>
        <v>7227.4400000000005</v>
      </c>
      <c r="BF25" s="6">
        <f>$B25*Prices!BF25</f>
        <v>7145.7400000000007</v>
      </c>
      <c r="BG25" s="6">
        <f>$B25*Prices!BG25</f>
        <v>7037.38</v>
      </c>
      <c r="BH25" s="6">
        <f>$B25*Prices!BH25</f>
        <v>6867.0999999999995</v>
      </c>
      <c r="BI25" s="6">
        <f>$B25*Prices!BI25</f>
        <v>6591.04</v>
      </c>
      <c r="BJ25" s="6">
        <f>$B25*Prices!BJ25</f>
        <v>6626.3</v>
      </c>
      <c r="BK25" s="6">
        <f>$B25*Prices!BK25</f>
        <v>6462.04</v>
      </c>
      <c r="BL25" s="6">
        <f>$B25*Prices!BL25</f>
        <v>6520.5199999999995</v>
      </c>
      <c r="BM25" s="6">
        <f>$B25*Prices!BM25</f>
        <v>6270.2599999999993</v>
      </c>
      <c r="BN25" s="6">
        <f>$B25*Prices!BN25</f>
        <v>6137.8200000000006</v>
      </c>
      <c r="BO25" s="6">
        <f>$B25*Prices!BO25</f>
        <v>6331.3200000000006</v>
      </c>
      <c r="BP25" s="6">
        <f>$B25*Prices!BP25</f>
        <v>6626.3</v>
      </c>
      <c r="BQ25" s="6">
        <f>$B25*Prices!BQ25</f>
        <v>6524.8200000000006</v>
      </c>
      <c r="BR25" s="6">
        <f>$B25*Prices!BR25</f>
        <v>6394.0999999999995</v>
      </c>
      <c r="BS25" s="6">
        <f>$B25*Prices!BS25</f>
        <v>6338.2</v>
      </c>
      <c r="BT25" s="6">
        <f>$B25*Prices!BT25</f>
        <v>6431.9400000000005</v>
      </c>
      <c r="BU25" s="6">
        <f>$B25*Prices!BU25</f>
        <v>6482.6799999999994</v>
      </c>
      <c r="BV25" s="6">
        <f>$B25*Prices!BV25</f>
        <v>6508.4800000000005</v>
      </c>
      <c r="BW25" s="6">
        <f>$B25*Prices!BW25</f>
        <v>6443.12</v>
      </c>
      <c r="BX25" s="6">
        <f>$B25*Prices!BX25</f>
        <v>6409.58</v>
      </c>
      <c r="BY25" s="6">
        <f>$B25*Prices!BY25</f>
        <v>6646.08</v>
      </c>
      <c r="BZ25" s="6">
        <f>$B25*Prices!BZ25</f>
        <v>6535.1399999999994</v>
      </c>
      <c r="CA25" s="6">
        <f>$B25*Prices!CA25</f>
        <v>6382.0599139999995</v>
      </c>
      <c r="CB25" s="6">
        <f>$B25*Prices!CB25</f>
        <v>6012.2603440000003</v>
      </c>
      <c r="CC25" s="6">
        <f>$B25*Prices!CC25</f>
        <v>5761.1398280000003</v>
      </c>
      <c r="CD25" s="6">
        <f>$B25*Prices!CD25</f>
        <v>5435.2000859999998</v>
      </c>
      <c r="CE25" s="6">
        <f>$B25*Prices!CE25</f>
        <v>5160</v>
      </c>
      <c r="CF25" s="6">
        <f>$B25*Prices!CF25</f>
        <v>5440.3598280000006</v>
      </c>
      <c r="CG25" s="6">
        <f>$B25*Prices!CG25</f>
        <v>5405.960086</v>
      </c>
      <c r="CH25" s="6">
        <f>$B25*Prices!CH25</f>
        <v>5368.98</v>
      </c>
      <c r="CI25" s="6">
        <f>$B25*Prices!CI25</f>
        <v>5510.8801719999992</v>
      </c>
      <c r="CJ25" s="6">
        <f>$B25*Prices!CJ25</f>
        <v>5320.8199139999997</v>
      </c>
      <c r="CK25" s="6">
        <f>$B25*Prices!CK25</f>
        <v>4755.7999140000002</v>
      </c>
      <c r="CL25" s="6">
        <f>$B25*Prices!CL25</f>
        <v>3233.5998279999999</v>
      </c>
      <c r="CM25" s="6">
        <f>$B25*Prices!CM25</f>
        <v>3577.5998279999999</v>
      </c>
      <c r="CN25" s="6">
        <f>$B25*Prices!CN25</f>
        <v>3341.9600859999996</v>
      </c>
      <c r="CO25" s="6">
        <f>$B25*Prices!CO25</f>
        <v>2795</v>
      </c>
      <c r="CP25" s="6">
        <f>$B25*Prices!CP25</f>
        <v>2992.7999140000002</v>
      </c>
      <c r="CQ25" s="6">
        <f>$B25*Prices!CQ25</f>
        <v>2674.6</v>
      </c>
      <c r="CR25" s="6">
        <f>$B25*Prices!CR25</f>
        <v>2656.539914</v>
      </c>
      <c r="CS25" s="6">
        <f>$B25*Prices!CS25</f>
        <v>2559.36</v>
      </c>
      <c r="CT25" s="6">
        <f>$B25*Prices!CT25</f>
        <v>2856.9200860000001</v>
      </c>
      <c r="CU25" s="6">
        <f>$B25*Prices!CU25</f>
        <v>3000.5399140000004</v>
      </c>
      <c r="CV25" s="6">
        <f>$B25*Prices!CV25</f>
        <v>2970.4400859999996</v>
      </c>
      <c r="CW25" s="6">
        <f>$B25*Prices!CW25</f>
        <v>3422.7999140000002</v>
      </c>
      <c r="CX25" s="6">
        <f>$B25*Prices!CX25</f>
        <v>3413.3399140000001</v>
      </c>
      <c r="CY25" s="6">
        <f>$B25*Prices!CY25</f>
        <v>3399.5799139999999</v>
      </c>
      <c r="CZ25" s="6">
        <f>$B25*Prices!CZ25</f>
        <v>3096</v>
      </c>
      <c r="DA25" s="6">
        <f>$B25*Prices!DA25</f>
        <v>3008.2799999999997</v>
      </c>
      <c r="DB25" s="6">
        <f>$B25*Prices!DB25</f>
        <v>3089.1198279999999</v>
      </c>
      <c r="DC25" s="6"/>
      <c r="DD25" s="6"/>
      <c r="DE25" s="6"/>
      <c r="DF25" s="6"/>
      <c r="DG25" s="6"/>
      <c r="DH25" s="6"/>
      <c r="DI25" s="6"/>
      <c r="DJ25" s="6"/>
    </row>
    <row r="26" spans="1:114">
      <c r="A26" s="3" t="s">
        <v>23</v>
      </c>
      <c r="B26">
        <v>490</v>
      </c>
      <c r="C26" s="6">
        <f>$B26*Prices!C26</f>
        <v>27048</v>
      </c>
      <c r="D26" s="6">
        <f>$B26*Prices!D26</f>
        <v>28003.5</v>
      </c>
      <c r="E26" s="6">
        <f>$B26*Prices!E26</f>
        <v>28420</v>
      </c>
      <c r="F26" s="6">
        <f>$B26*Prices!F26</f>
        <v>28669.899999999998</v>
      </c>
      <c r="G26" s="6">
        <f>$B26*Prices!G26</f>
        <v>28238.7</v>
      </c>
      <c r="H26" s="6">
        <f>$B26*Prices!H26</f>
        <v>29174.6</v>
      </c>
      <c r="I26" s="6">
        <f>$B26*Prices!I26</f>
        <v>28988.399999999998</v>
      </c>
      <c r="J26" s="6">
        <f>$B26*Prices!J26</f>
        <v>28865.899999999998</v>
      </c>
      <c r="K26" s="6">
        <f>$B26*Prices!K26</f>
        <v>28532.699999999997</v>
      </c>
      <c r="L26" s="6">
        <f>$B26*Prices!L26</f>
        <v>28204.400000000001</v>
      </c>
      <c r="M26" s="6">
        <f>$B26*Prices!M26</f>
        <v>28052.5</v>
      </c>
      <c r="N26" s="6">
        <f>$B26*Prices!N26</f>
        <v>28542.5</v>
      </c>
      <c r="O26" s="6">
        <f>$B26*Prices!O26</f>
        <v>27783</v>
      </c>
      <c r="P26" s="6">
        <f>$B26*Prices!P26</f>
        <v>28013.3</v>
      </c>
      <c r="Q26" s="6">
        <f>$B26*Prices!Q26</f>
        <v>29086.400000000001</v>
      </c>
      <c r="R26" s="6">
        <f>$B26*Prices!R26</f>
        <v>29502.9</v>
      </c>
      <c r="S26" s="6">
        <f>$B26*Prices!S26</f>
        <v>29351</v>
      </c>
      <c r="T26" s="6">
        <f>$B26*Prices!T26</f>
        <v>29914.5</v>
      </c>
      <c r="U26" s="6">
        <f>$B26*Prices!U26</f>
        <v>29453.9</v>
      </c>
      <c r="V26" s="6">
        <f>$B26*Prices!V26</f>
        <v>29566.600000000002</v>
      </c>
      <c r="W26" s="6">
        <f>$B26*Prices!W26</f>
        <v>29370.6</v>
      </c>
      <c r="X26" s="6">
        <f>$B26*Prices!X26</f>
        <v>29581.3</v>
      </c>
      <c r="Y26" s="6">
        <f>$B26*Prices!Y26</f>
        <v>28856.1</v>
      </c>
      <c r="Z26" s="6">
        <f>$B26*Prices!Z26</f>
        <v>29708.7</v>
      </c>
      <c r="AA26" s="6">
        <f>$B26*Prices!AA26</f>
        <v>29321.600000000002</v>
      </c>
      <c r="AB26" s="6">
        <f>$B26*Prices!AB26</f>
        <v>30365.3</v>
      </c>
      <c r="AC26" s="6">
        <f>$B26*Prices!AC26</f>
        <v>30296.7</v>
      </c>
      <c r="AD26" s="6">
        <f>$B26*Prices!AD26</f>
        <v>30262.399999999998</v>
      </c>
      <c r="AE26" s="6">
        <f>$B26*Prices!AE26</f>
        <v>30223.200000000001</v>
      </c>
      <c r="AF26" s="6">
        <f>$B26*Prices!AF26</f>
        <v>30669.100000000002</v>
      </c>
      <c r="AG26" s="6">
        <f>$B26*Prices!AG26</f>
        <v>30723</v>
      </c>
      <c r="AH26" s="6">
        <f>$B26*Prices!AH26</f>
        <v>30781.8</v>
      </c>
      <c r="AI26" s="6">
        <f>$B26*Prices!AI26</f>
        <v>31124.800000000003</v>
      </c>
      <c r="AJ26" s="6">
        <f>$B26*Prices!AJ26</f>
        <v>30968</v>
      </c>
      <c r="AK26" s="6">
        <f>$B26*Prices!AK26</f>
        <v>30963.1</v>
      </c>
      <c r="AL26" s="6">
        <f>$B26*Prices!AL26</f>
        <v>31222.799999999999</v>
      </c>
      <c r="AM26" s="6">
        <f>$B26*Prices!AM26</f>
        <v>31653.999999999996</v>
      </c>
      <c r="AN26" s="6">
        <f>$B26*Prices!AN26</f>
        <v>31688.3</v>
      </c>
      <c r="AO26" s="6">
        <f>$B26*Prices!AO26</f>
        <v>31850</v>
      </c>
      <c r="AP26" s="6">
        <f>$B26*Prices!AP26</f>
        <v>31840.2</v>
      </c>
      <c r="AQ26" s="6">
        <f>$B26*Prices!AQ26</f>
        <v>31658.9</v>
      </c>
      <c r="AR26" s="6">
        <f>$B26*Prices!AR26</f>
        <v>31864.7</v>
      </c>
      <c r="AS26" s="6">
        <f>$B26*Prices!AS26</f>
        <v>32075.399999999998</v>
      </c>
      <c r="AT26" s="6">
        <f>$B26*Prices!AT26</f>
        <v>32193</v>
      </c>
      <c r="AU26" s="6">
        <f>$B26*Prices!AU26</f>
        <v>32575.200000000001</v>
      </c>
      <c r="AV26" s="6">
        <f>$B26*Prices!AV26</f>
        <v>32575.200000000001</v>
      </c>
      <c r="AW26" s="6">
        <f>$B26*Prices!AW26</f>
        <v>31820.6</v>
      </c>
      <c r="AX26" s="6">
        <f>$B26*Prices!AX26</f>
        <v>32374.299999999996</v>
      </c>
      <c r="AY26" s="6">
        <f>$B26*Prices!AY26</f>
        <v>32055.8</v>
      </c>
      <c r="AZ26" s="6">
        <f>$B26*Prices!AZ26</f>
        <v>31913.699999999997</v>
      </c>
      <c r="BA26" s="6">
        <f>$B26*Prices!BA26</f>
        <v>31918.6</v>
      </c>
      <c r="BB26" s="6">
        <f>$B26*Prices!BB26</f>
        <v>31850</v>
      </c>
      <c r="BC26" s="6">
        <f>$B26*Prices!BC26</f>
        <v>31884.299999999996</v>
      </c>
      <c r="BD26" s="6">
        <f>$B26*Prices!BD26</f>
        <v>31884.299999999996</v>
      </c>
      <c r="BE26" s="6">
        <f>$B26*Prices!BE26</f>
        <v>31374.7</v>
      </c>
      <c r="BF26" s="6">
        <f>$B26*Prices!BF26</f>
        <v>30874.899999999998</v>
      </c>
      <c r="BG26" s="6">
        <f>$B26*Prices!BG26</f>
        <v>30938.6</v>
      </c>
      <c r="BH26" s="6">
        <f>$B26*Prices!BH26</f>
        <v>30683.8</v>
      </c>
      <c r="BI26" s="6">
        <f>$B26*Prices!BI26</f>
        <v>29909.599999999999</v>
      </c>
      <c r="BJ26" s="6">
        <f>$B26*Prices!BJ26</f>
        <v>29978.2</v>
      </c>
      <c r="BK26" s="6">
        <f>$B26*Prices!BK26</f>
        <v>29640.100000000002</v>
      </c>
      <c r="BL26" s="6">
        <f>$B26*Prices!BL26</f>
        <v>29836.1</v>
      </c>
      <c r="BM26" s="6">
        <f>$B26*Prices!BM26</f>
        <v>29120.7</v>
      </c>
      <c r="BN26" s="6">
        <f>$B26*Prices!BN26</f>
        <v>28998.2</v>
      </c>
      <c r="BO26" s="6">
        <f>$B26*Prices!BO26</f>
        <v>27680.100000000002</v>
      </c>
      <c r="BP26" s="6">
        <f>$B26*Prices!BP26</f>
        <v>28802.2</v>
      </c>
      <c r="BQ26" s="6">
        <f>$B26*Prices!BQ26</f>
        <v>28620.899999999998</v>
      </c>
      <c r="BR26" s="6">
        <f>$B26*Prices!BR26</f>
        <v>28415.100000000002</v>
      </c>
      <c r="BS26" s="6">
        <f>$B26*Prices!BS26</f>
        <v>28356.3</v>
      </c>
      <c r="BT26" s="6">
        <f>$B26*Prices!BT26</f>
        <v>28767.9</v>
      </c>
      <c r="BU26" s="6">
        <f>$B26*Prices!BU26</f>
        <v>29282.399999999998</v>
      </c>
      <c r="BV26" s="6">
        <f>$B26*Prices!BV26</f>
        <v>28821.8</v>
      </c>
      <c r="BW26" s="6">
        <f>$B26*Prices!BW26</f>
        <v>28723.8</v>
      </c>
      <c r="BX26" s="6">
        <f>$B26*Prices!BX26</f>
        <v>28567</v>
      </c>
      <c r="BY26" s="6">
        <f>$B26*Prices!BY26</f>
        <v>29037.399999999998</v>
      </c>
      <c r="BZ26" s="6">
        <f>$B26*Prices!BZ26</f>
        <v>28851.200000000001</v>
      </c>
      <c r="CA26" s="6">
        <f>$B26*Prices!CA26</f>
        <v>28635.59951</v>
      </c>
      <c r="CB26" s="6">
        <f>$B26*Prices!CB26</f>
        <v>27626.200489999999</v>
      </c>
      <c r="CC26" s="6">
        <f>$B26*Prices!CC26</f>
        <v>26376.700980000001</v>
      </c>
      <c r="CD26" s="6">
        <f>$B26*Prices!CD26</f>
        <v>25073.299019999999</v>
      </c>
      <c r="CE26" s="6">
        <f>$B26*Prices!CE26</f>
        <v>23093.700489999999</v>
      </c>
      <c r="CF26" s="6">
        <f>$B26*Prices!CF26</f>
        <v>23725.799019999999</v>
      </c>
      <c r="CG26" s="6">
        <f>$B26*Prices!CG26</f>
        <v>24122.699999999997</v>
      </c>
      <c r="CH26" s="6">
        <f>$B26*Prices!CH26</f>
        <v>23578.799510000001</v>
      </c>
      <c r="CI26" s="6">
        <f>$B26*Prices!CI26</f>
        <v>24220.7</v>
      </c>
      <c r="CJ26" s="6">
        <f>$B26*Prices!CJ26</f>
        <v>23373.000489999999</v>
      </c>
      <c r="CK26" s="6">
        <f>$B26*Prices!CK26</f>
        <v>22211.700980000001</v>
      </c>
      <c r="CL26" s="6">
        <f>$B26*Prices!CL26</f>
        <v>16694.3</v>
      </c>
      <c r="CM26" s="6">
        <f>$B26*Prices!CM26</f>
        <v>17091.200489999999</v>
      </c>
      <c r="CN26" s="6">
        <f>$B26*Prices!CN26</f>
        <v>15954.40049</v>
      </c>
      <c r="CO26" s="6">
        <f>$B26*Prices!CO26</f>
        <v>13818.00049</v>
      </c>
      <c r="CP26" s="6">
        <f>$B26*Prices!CP26</f>
        <v>15376.19951</v>
      </c>
      <c r="CQ26" s="6">
        <f>$B26*Prices!CQ26</f>
        <v>12779.199999999999</v>
      </c>
      <c r="CR26" s="6">
        <f>$B26*Prices!CR26</f>
        <v>12862.5</v>
      </c>
      <c r="CS26" s="6">
        <f>$B26*Prices!CS26</f>
        <v>11108.300000000001</v>
      </c>
      <c r="CT26" s="6">
        <f>$B26*Prices!CT26</f>
        <v>12539.1</v>
      </c>
      <c r="CU26" s="6">
        <f>$B26*Prices!CU26</f>
        <v>13151.6</v>
      </c>
      <c r="CV26" s="6">
        <f>$B26*Prices!CV26</f>
        <v>12029.49951</v>
      </c>
      <c r="CW26" s="6">
        <f>$B26*Prices!CW26</f>
        <v>15062.599999999999</v>
      </c>
      <c r="CX26" s="6">
        <f>$B26*Prices!CX26</f>
        <v>15160.600489999999</v>
      </c>
      <c r="CY26" s="6">
        <f>$B26*Prices!CY26</f>
        <v>15724.100000000002</v>
      </c>
      <c r="CZ26" s="6">
        <f>$B26*Prices!CZ26</f>
        <v>14332.5</v>
      </c>
      <c r="DA26" s="6">
        <f>$B26*Prices!DA26</f>
        <v>14352.100490000001</v>
      </c>
      <c r="DB26" s="6">
        <f>$B26*Prices!DB26</f>
        <v>15091.99951</v>
      </c>
      <c r="DC26" s="6"/>
      <c r="DD26" s="6"/>
      <c r="DE26" s="6"/>
      <c r="DF26" s="6"/>
      <c r="DG26" s="6"/>
      <c r="DH26" s="6"/>
      <c r="DI26" s="6"/>
      <c r="DJ26" s="6"/>
    </row>
    <row r="27" spans="1:114">
      <c r="A27" s="2" t="s">
        <v>24</v>
      </c>
      <c r="C27" s="6">
        <f>SUM(C28:C32)</f>
        <v>99989.87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>
        <f>SUM(BM28:BM32)</f>
        <v>110270.99</v>
      </c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>
        <f>SUM(BZ28:BZ32)</f>
        <v>114335.44</v>
      </c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4">
      <c r="A28" s="3" t="s">
        <v>25</v>
      </c>
      <c r="B28">
        <v>54</v>
      </c>
      <c r="C28" s="6">
        <f>$B28*Prices!C28</f>
        <v>24931.8</v>
      </c>
      <c r="D28" s="6">
        <f>$B28*Prices!D28</f>
        <v>25335.18</v>
      </c>
      <c r="E28" s="6">
        <f>$B28*Prices!E28</f>
        <v>25732.62</v>
      </c>
      <c r="F28" s="6">
        <f>$B28*Prices!F28</f>
        <v>26051.759999999998</v>
      </c>
      <c r="G28" s="6">
        <f>$B28*Prices!G28</f>
        <v>26435.16</v>
      </c>
      <c r="H28" s="6">
        <f>$B28*Prices!H28</f>
        <v>26468.640000000003</v>
      </c>
      <c r="I28" s="6">
        <f>$B28*Prices!I28</f>
        <v>26471.34</v>
      </c>
      <c r="J28" s="6">
        <f>$B28*Prices!J28</f>
        <v>26286.66</v>
      </c>
      <c r="K28" s="6">
        <f>$B28*Prices!K28</f>
        <v>26286.66</v>
      </c>
      <c r="L28" s="6">
        <f>$B28*Prices!L28</f>
        <v>26220.78</v>
      </c>
      <c r="M28" s="6">
        <f>$B28*Prices!M28</f>
        <v>26167.859999999997</v>
      </c>
      <c r="N28" s="6">
        <f>$B28*Prices!N28</f>
        <v>26511.84</v>
      </c>
      <c r="O28" s="6">
        <f>$B28*Prices!O28</f>
        <v>26553.96</v>
      </c>
      <c r="P28" s="6">
        <f>$B28*Prices!P28</f>
        <v>26611.200000000001</v>
      </c>
      <c r="Q28" s="6">
        <f>$B28*Prices!Q28</f>
        <v>26395.74</v>
      </c>
      <c r="R28" s="6">
        <f>$B28*Prices!R28</f>
        <v>26188.920000000002</v>
      </c>
      <c r="S28" s="6">
        <f>$B28*Prices!S28</f>
        <v>26190</v>
      </c>
      <c r="T28" s="6">
        <f>$B28*Prices!T28</f>
        <v>26560.440000000002</v>
      </c>
      <c r="U28" s="6">
        <f>$B28*Prices!U28</f>
        <v>26508.059999999998</v>
      </c>
      <c r="V28" s="6">
        <f>$B28*Prices!V28</f>
        <v>26687.34</v>
      </c>
      <c r="W28" s="6">
        <f>$B28*Prices!W28</f>
        <v>26725.140000000003</v>
      </c>
      <c r="X28" s="6">
        <f>$B28*Prices!X28</f>
        <v>26443.8</v>
      </c>
      <c r="Y28" s="6">
        <f>$B28*Prices!Y28</f>
        <v>26231.040000000001</v>
      </c>
      <c r="Z28" s="6">
        <f>$B28*Prices!Z28</f>
        <v>26281.26</v>
      </c>
      <c r="AA28" s="6">
        <f>$B28*Prices!AA28</f>
        <v>26476.2</v>
      </c>
      <c r="AB28" s="6">
        <f>$B28*Prices!AB28</f>
        <v>26771.040000000001</v>
      </c>
      <c r="AC28" s="6">
        <f>$B28*Prices!AC28</f>
        <v>26841.78</v>
      </c>
      <c r="AD28" s="6">
        <f>$B28*Prices!AD28</f>
        <v>26677.62</v>
      </c>
      <c r="AE28" s="6">
        <f>$B28*Prices!AE28</f>
        <v>26671.140000000003</v>
      </c>
      <c r="AF28" s="6">
        <f>$B28*Prices!AF28</f>
        <v>27114.48</v>
      </c>
      <c r="AG28" s="6">
        <f>$B28*Prices!AG28</f>
        <v>26924.940000000002</v>
      </c>
      <c r="AH28" s="6">
        <f>$B28*Prices!AH28</f>
        <v>27110.7</v>
      </c>
      <c r="AI28" s="6">
        <f>$B28*Prices!AI28</f>
        <v>27123.66</v>
      </c>
      <c r="AJ28" s="6">
        <f>$B28*Prices!AJ28</f>
        <v>26972.46</v>
      </c>
      <c r="AK28" s="6">
        <f>$B28*Prices!AK28</f>
        <v>27126.359999999997</v>
      </c>
      <c r="AL28" s="6">
        <f>$B28*Prices!AL28</f>
        <v>26977.859999999997</v>
      </c>
      <c r="AM28" s="6">
        <f>$B28*Prices!AM28</f>
        <v>26981.640000000003</v>
      </c>
      <c r="AN28" s="6">
        <f>$B28*Prices!AN28</f>
        <v>26980.559999999998</v>
      </c>
      <c r="AO28" s="6">
        <f>$B28*Prices!AO28</f>
        <v>27174.959999999999</v>
      </c>
      <c r="AP28" s="6">
        <f>$B28*Prices!AP28</f>
        <v>27162.54</v>
      </c>
      <c r="AQ28" s="6">
        <f>$B28*Prices!AQ28</f>
        <v>27045.359999999997</v>
      </c>
      <c r="AR28" s="6">
        <f>$B28*Prices!AR28</f>
        <v>27145.8</v>
      </c>
      <c r="AS28" s="6">
        <f>$B28*Prices!AS28</f>
        <v>27484.920000000002</v>
      </c>
      <c r="AT28" s="6">
        <f>$B28*Prices!AT28</f>
        <v>27192.78</v>
      </c>
      <c r="AU28" s="6">
        <f>$B28*Prices!AU28</f>
        <v>27216</v>
      </c>
      <c r="AV28" s="6">
        <f>$B28*Prices!AV28</f>
        <v>27389.88</v>
      </c>
      <c r="AW28" s="6">
        <f>$B28*Prices!AW28</f>
        <v>27383.4</v>
      </c>
      <c r="AX28" s="6">
        <f>$B28*Prices!AX28</f>
        <v>27707.4</v>
      </c>
      <c r="AY28" s="6">
        <f>$B28*Prices!AY28</f>
        <v>27657.719999999998</v>
      </c>
      <c r="AZ28" s="6">
        <f>$B28*Prices!AZ28</f>
        <v>28247.940000000002</v>
      </c>
      <c r="BA28" s="6">
        <f>$B28*Prices!BA28</f>
        <v>27989.280000000002</v>
      </c>
      <c r="BB28" s="6">
        <f>$B28*Prices!BB28</f>
        <v>28634.04</v>
      </c>
      <c r="BC28" s="6">
        <f>$B28*Prices!BC28</f>
        <v>28890</v>
      </c>
      <c r="BD28" s="6">
        <f>$B28*Prices!BD28</f>
        <v>28902.959999999999</v>
      </c>
      <c r="BE28" s="6">
        <f>$B28*Prices!BE28</f>
        <v>28573.559999999998</v>
      </c>
      <c r="BF28" s="6">
        <f>$B28*Prices!BF28</f>
        <v>28990.440000000002</v>
      </c>
      <c r="BG28" s="6">
        <f>$B28*Prices!BG28</f>
        <v>29264.760000000002</v>
      </c>
      <c r="BH28" s="6">
        <f>$B28*Prices!BH28</f>
        <v>28989.360000000001</v>
      </c>
      <c r="BI28" s="6">
        <f>$B28*Prices!BI28</f>
        <v>28285.739999999998</v>
      </c>
      <c r="BJ28" s="6">
        <f>$B28*Prices!BJ28</f>
        <v>28618.38</v>
      </c>
      <c r="BK28" s="6">
        <f>$B28*Prices!BK28</f>
        <v>28970.46</v>
      </c>
      <c r="BL28" s="6">
        <f>$B28*Prices!BL28</f>
        <v>29143.260000000002</v>
      </c>
      <c r="BM28" s="6">
        <f>$B28*Prices!BM28</f>
        <v>28476.9</v>
      </c>
      <c r="BN28" s="6">
        <f>$B28*Prices!BN28</f>
        <v>28624.320000000003</v>
      </c>
      <c r="BO28" s="6">
        <f>$B28*Prices!BO28</f>
        <v>28902.959999999999</v>
      </c>
      <c r="BP28" s="6">
        <f>$B28*Prices!BP28</f>
        <v>29347.920000000002</v>
      </c>
      <c r="BQ28" s="6">
        <f>$B28*Prices!BQ28</f>
        <v>29952.179999999997</v>
      </c>
      <c r="BR28" s="6">
        <f>$B28*Prices!BR28</f>
        <v>30009.96</v>
      </c>
      <c r="BS28" s="6">
        <f>$B28*Prices!BS28</f>
        <v>30299.4</v>
      </c>
      <c r="BT28" s="6">
        <f>$B28*Prices!BT28</f>
        <v>30803.760000000002</v>
      </c>
      <c r="BU28" s="6">
        <f>$B28*Prices!BU28</f>
        <v>30913.920000000002</v>
      </c>
      <c r="BV28" s="6">
        <f>$B28*Prices!BV28</f>
        <v>30701.699999999997</v>
      </c>
      <c r="BW28" s="6">
        <f>$B28*Prices!BW28</f>
        <v>30560.760000000002</v>
      </c>
      <c r="BX28" s="6">
        <f>$B28*Prices!BX28</f>
        <v>30499.739999999998</v>
      </c>
      <c r="BY28" s="6">
        <f>$B28*Prices!BY28</f>
        <v>30891.780000000002</v>
      </c>
      <c r="BZ28" s="6">
        <f>$B28*Prices!BZ28</f>
        <v>30613.679999999997</v>
      </c>
      <c r="CA28" s="6">
        <f>$B28*Prices!CA28</f>
        <v>29851.512444</v>
      </c>
      <c r="CB28" s="6">
        <f>$B28*Prices!CB28</f>
        <v>28297.305180000003</v>
      </c>
      <c r="CC28" s="6">
        <f>$B28*Prices!CC28</f>
        <v>27118.248606000001</v>
      </c>
      <c r="CD28" s="6">
        <f>$B28*Prices!CD28</f>
        <v>27250.625070000002</v>
      </c>
      <c r="CE28" s="6">
        <f>$B28*Prices!CE28</f>
        <v>25500.801294000001</v>
      </c>
      <c r="CF28" s="6">
        <f>$B28*Prices!CF28</f>
        <v>24814.270565999999</v>
      </c>
      <c r="CG28" s="6">
        <f>$B28*Prices!CG28</f>
        <v>26150.353631999998</v>
      </c>
      <c r="CH28" s="6">
        <f>$B28*Prices!CH28</f>
        <v>25835.760107999999</v>
      </c>
      <c r="CI28" s="6">
        <f>$B28*Prices!CI28</f>
        <v>26746.739892000001</v>
      </c>
      <c r="CJ28" s="6">
        <f>$B28*Prices!CJ28</f>
        <v>25513.380054000001</v>
      </c>
      <c r="CK28" s="6">
        <f>$B28*Prices!CK28</f>
        <v>24322.140216</v>
      </c>
      <c r="CL28" s="6">
        <f>$B28*Prices!CL28</f>
        <v>22626.540540000002</v>
      </c>
      <c r="CM28" s="6">
        <f>$B28*Prices!CM28</f>
        <v>24786</v>
      </c>
      <c r="CN28" s="6">
        <f>$B28*Prices!CN28</f>
        <v>23272.380054000001</v>
      </c>
      <c r="CO28" s="6">
        <f>$B28*Prices!CO28</f>
        <v>20855.880054000001</v>
      </c>
      <c r="CP28" s="6">
        <f>$B28*Prices!CP28</f>
        <v>22344.119945999999</v>
      </c>
      <c r="CQ28" s="6">
        <f>$B28*Prices!CQ28</f>
        <v>19293.119945999999</v>
      </c>
      <c r="CR28" s="6">
        <f>$B28*Prices!CR28</f>
        <v>20885.040540000002</v>
      </c>
      <c r="CS28" s="6">
        <f>$B28*Prices!CS28</f>
        <v>20161.439190000001</v>
      </c>
      <c r="CT28" s="6">
        <f>$B28*Prices!CT28</f>
        <v>21457.439190000001</v>
      </c>
      <c r="CU28" s="6">
        <f>$B28*Prices!CU28</f>
        <v>19154.880054000001</v>
      </c>
      <c r="CV28" s="6">
        <f>$B28*Prices!CV28</f>
        <v>17680.680701999998</v>
      </c>
      <c r="CW28" s="6">
        <f>$B28*Prices!CW28</f>
        <v>20071.800648</v>
      </c>
      <c r="CX28" s="6">
        <f>$B28*Prices!CX28</f>
        <v>21674.520270000001</v>
      </c>
      <c r="CY28" s="6">
        <f>$B28*Prices!CY28</f>
        <v>24402.599675999998</v>
      </c>
      <c r="CZ28" s="6">
        <f>$B28*Prices!CZ28</f>
        <v>23454.359784</v>
      </c>
      <c r="DA28" s="6">
        <f>$B28*Prices!DA28</f>
        <v>24588.900324000002</v>
      </c>
      <c r="DB28" s="6">
        <f>$B28*Prices!DB28</f>
        <v>23758.380054000001</v>
      </c>
      <c r="DC28" s="6"/>
      <c r="DD28" s="6"/>
      <c r="DE28" s="6"/>
      <c r="DF28" s="6"/>
      <c r="DG28" s="6"/>
      <c r="DH28" s="6"/>
      <c r="DI28" s="6"/>
      <c r="DJ28" s="6"/>
    </row>
    <row r="29" spans="1:114">
      <c r="A29" s="3" t="s">
        <v>26</v>
      </c>
      <c r="B29">
        <v>118</v>
      </c>
      <c r="C29" s="6">
        <f>$B29*Prices!C29</f>
        <v>25178.84</v>
      </c>
      <c r="D29" s="6">
        <f>$B29*Prices!D29</f>
        <v>25652.019999999997</v>
      </c>
      <c r="E29" s="6">
        <f>$B29*Prices!E29</f>
        <v>25944.66</v>
      </c>
      <c r="F29" s="6">
        <f>$B29*Prices!F29</f>
        <v>25799.519999999997</v>
      </c>
      <c r="G29" s="6">
        <f>$B29*Prices!G29</f>
        <v>25773.559999999998</v>
      </c>
      <c r="H29" s="6">
        <f>$B29*Prices!H29</f>
        <v>26348.219999999998</v>
      </c>
      <c r="I29" s="6">
        <f>$B29*Prices!I29</f>
        <v>26303.38</v>
      </c>
      <c r="J29" s="6">
        <f>$B29*Prices!J29</f>
        <v>25845.54</v>
      </c>
      <c r="K29" s="6">
        <f>$B29*Prices!K29</f>
        <v>26008.38</v>
      </c>
      <c r="L29" s="6">
        <f>$B29*Prices!L29</f>
        <v>25879.759999999998</v>
      </c>
      <c r="M29" s="6">
        <f>$B29*Prices!M29</f>
        <v>25892.74</v>
      </c>
      <c r="N29" s="6">
        <f>$B29*Prices!N29</f>
        <v>25989.5</v>
      </c>
      <c r="O29" s="6">
        <f>$B29*Prices!O29</f>
        <v>25928.14</v>
      </c>
      <c r="P29" s="6">
        <f>$B29*Prices!P29</f>
        <v>25964.719999999998</v>
      </c>
      <c r="Q29" s="6">
        <f>$B29*Prices!Q29</f>
        <v>25713.38</v>
      </c>
      <c r="R29" s="6">
        <f>$B29*Prices!R29</f>
        <v>25751.14</v>
      </c>
      <c r="S29" s="6">
        <f>$B29*Prices!S29</f>
        <v>25993.040000000001</v>
      </c>
      <c r="T29" s="6">
        <f>$B29*Prices!T29</f>
        <v>26284.5</v>
      </c>
      <c r="U29" s="6">
        <f>$B29*Prices!U29</f>
        <v>26249.1</v>
      </c>
      <c r="V29" s="6">
        <f>$B29*Prices!V29</f>
        <v>26308.1</v>
      </c>
      <c r="W29" s="6">
        <f>$B29*Prices!W29</f>
        <v>26119.3</v>
      </c>
      <c r="X29" s="6">
        <f>$B29*Prices!X29</f>
        <v>25681.519999999997</v>
      </c>
      <c r="Y29" s="6">
        <f>$B29*Prices!Y29</f>
        <v>25044.32</v>
      </c>
      <c r="Z29" s="6">
        <f>$B29*Prices!Z29</f>
        <v>25480.92</v>
      </c>
      <c r="AA29" s="6">
        <f>$B29*Prices!AA29</f>
        <v>25622.519999999997</v>
      </c>
      <c r="AB29" s="6">
        <f>$B29*Prices!AB29</f>
        <v>26503.980000000003</v>
      </c>
      <c r="AC29" s="6">
        <f>$B29*Prices!AC29</f>
        <v>26173.58</v>
      </c>
      <c r="AD29" s="6">
        <f>$B29*Prices!AD29</f>
        <v>26181.84</v>
      </c>
      <c r="AE29" s="6">
        <f>$B29*Prices!AE29</f>
        <v>26100.42</v>
      </c>
      <c r="AF29" s="6">
        <f>$B29*Prices!AF29</f>
        <v>26673.9</v>
      </c>
      <c r="AG29" s="6">
        <f>$B29*Prices!AG29</f>
        <v>26550</v>
      </c>
      <c r="AH29" s="6">
        <f>$B29*Prices!AH29</f>
        <v>26908.719999999998</v>
      </c>
      <c r="AI29" s="6">
        <f>$B29*Prices!AI29</f>
        <v>27275.7</v>
      </c>
      <c r="AJ29" s="6">
        <f>$B29*Prices!AJ29</f>
        <v>27193.1</v>
      </c>
      <c r="AK29" s="6">
        <f>$B29*Prices!AK29</f>
        <v>27132.92</v>
      </c>
      <c r="AL29" s="6">
        <f>$B29*Prices!AL29</f>
        <v>27013.74</v>
      </c>
      <c r="AM29" s="6">
        <f>$B29*Prices!AM29</f>
        <v>27032.62</v>
      </c>
      <c r="AN29" s="6">
        <f>$B29*Prices!AN29</f>
        <v>27129.38</v>
      </c>
      <c r="AO29" s="6">
        <f>$B29*Prices!AO29</f>
        <v>27282.780000000002</v>
      </c>
      <c r="AP29" s="6">
        <f>$B29*Prices!AP29</f>
        <v>27217.88</v>
      </c>
      <c r="AQ29" s="6">
        <f>$B29*Prices!AQ29</f>
        <v>27116.400000000001</v>
      </c>
      <c r="AR29" s="6">
        <f>$B29*Prices!AR29</f>
        <v>27131.74</v>
      </c>
      <c r="AS29" s="6">
        <f>$B29*Prices!AS29</f>
        <v>27649.759999999998</v>
      </c>
      <c r="AT29" s="6">
        <f>$B29*Prices!AT29</f>
        <v>27326.440000000002</v>
      </c>
      <c r="AU29" s="6">
        <f>$B29*Prices!AU29</f>
        <v>27606.1</v>
      </c>
      <c r="AV29" s="6">
        <f>$B29*Prices!AV29</f>
        <v>27787.82</v>
      </c>
      <c r="AW29" s="6">
        <f>$B29*Prices!AW29</f>
        <v>28055.68</v>
      </c>
      <c r="AX29" s="6">
        <f>$B29*Prices!AX29</f>
        <v>28626.799999999999</v>
      </c>
      <c r="AY29" s="6">
        <f>$B29*Prices!AY29</f>
        <v>28568.980000000003</v>
      </c>
      <c r="AZ29" s="6">
        <f>$B29*Prices!AZ29</f>
        <v>28934.780000000002</v>
      </c>
      <c r="BA29" s="6">
        <f>$B29*Prices!BA29</f>
        <v>28987.88</v>
      </c>
      <c r="BB29" s="6">
        <f>$B29*Prices!BB29</f>
        <v>28934.780000000002</v>
      </c>
      <c r="BC29" s="6">
        <f>$B29*Prices!BC29</f>
        <v>29466.959999999999</v>
      </c>
      <c r="BD29" s="6">
        <f>$B29*Prices!BD29</f>
        <v>29436.280000000002</v>
      </c>
      <c r="BE29" s="6">
        <f>$B29*Prices!BE29</f>
        <v>28992.6</v>
      </c>
      <c r="BF29" s="6">
        <f>$B29*Prices!BF29</f>
        <v>29151.9</v>
      </c>
      <c r="BG29" s="6">
        <f>$B29*Prices!BG29</f>
        <v>28978.440000000002</v>
      </c>
      <c r="BH29" s="6">
        <f>$B29*Prices!BH29</f>
        <v>28546.559999999998</v>
      </c>
      <c r="BI29" s="6">
        <f>$B29*Prices!BI29</f>
        <v>28100.519999999997</v>
      </c>
      <c r="BJ29" s="6">
        <f>$B29*Prices!BJ29</f>
        <v>28624.440000000002</v>
      </c>
      <c r="BK29" s="6">
        <f>$B29*Prices!BK29</f>
        <v>28334.16</v>
      </c>
      <c r="BL29" s="6">
        <f>$B29*Prices!BL29</f>
        <v>28807.34</v>
      </c>
      <c r="BM29" s="6">
        <f>$B29*Prices!BM29</f>
        <v>28054.5</v>
      </c>
      <c r="BN29" s="6">
        <f>$B29*Prices!BN29</f>
        <v>28203.18</v>
      </c>
      <c r="BO29" s="6">
        <f>$B29*Prices!BO29</f>
        <v>28548.92</v>
      </c>
      <c r="BP29" s="6">
        <f>$B29*Prices!BP29</f>
        <v>28827.4</v>
      </c>
      <c r="BQ29" s="6">
        <f>$B29*Prices!BQ29</f>
        <v>28534.76</v>
      </c>
      <c r="BR29" s="6">
        <f>$B29*Prices!BR29</f>
        <v>28084</v>
      </c>
      <c r="BS29" s="6">
        <f>$B29*Prices!BS29</f>
        <v>28008.480000000003</v>
      </c>
      <c r="BT29" s="6">
        <f>$B29*Prices!BT29</f>
        <v>27902.280000000002</v>
      </c>
      <c r="BU29" s="6">
        <f>$B29*Prices!BU29</f>
        <v>28160.7</v>
      </c>
      <c r="BV29" s="6">
        <f>$B29*Prices!BV29</f>
        <v>28125.3</v>
      </c>
      <c r="BW29" s="6">
        <f>$B29*Prices!BW29</f>
        <v>27975.440000000002</v>
      </c>
      <c r="BX29" s="6">
        <f>$B29*Prices!BX29</f>
        <v>27518.780000000002</v>
      </c>
      <c r="BY29" s="6">
        <f>$B29*Prices!BY29</f>
        <v>28004.940000000002</v>
      </c>
      <c r="BZ29" s="6">
        <f>$B29*Prices!BZ29</f>
        <v>27462.14</v>
      </c>
      <c r="CA29" s="6">
        <f>$B29*Prices!CA29</f>
        <v>27047.781938</v>
      </c>
      <c r="CB29" s="6">
        <f>$B29*Prices!CB29</f>
        <v>26334.702627999999</v>
      </c>
      <c r="CC29" s="6">
        <f>$B29*Prices!CC29</f>
        <v>25521.932905999998</v>
      </c>
      <c r="CD29" s="6">
        <f>$B29*Prices!CD29</f>
        <v>25307.303531999998</v>
      </c>
      <c r="CE29" s="6">
        <f>$B29*Prices!CE29</f>
        <v>24123.920235999998</v>
      </c>
      <c r="CF29" s="6">
        <f>$B29*Prices!CF29</f>
        <v>23690.860472</v>
      </c>
      <c r="CG29" s="6">
        <f>$B29*Prices!CG29</f>
        <v>24717.460117999999</v>
      </c>
      <c r="CH29" s="6">
        <f>$B29*Prices!CH29</f>
        <v>24004.739173999998</v>
      </c>
      <c r="CI29" s="6">
        <f>$B29*Prices!CI29</f>
        <v>24631.320589999999</v>
      </c>
      <c r="CJ29" s="6">
        <f>$B29*Prices!CJ29</f>
        <v>23457.219174000002</v>
      </c>
      <c r="CK29" s="6">
        <f>$B29*Prices!CK29</f>
        <v>22756.300708000002</v>
      </c>
      <c r="CL29" s="6">
        <f>$B29*Prices!CL29</f>
        <v>20391.579764000002</v>
      </c>
      <c r="CM29" s="6">
        <f>$B29*Prices!CM29</f>
        <v>21753.300708000002</v>
      </c>
      <c r="CN29" s="6">
        <f>$B29*Prices!CN29</f>
        <v>20283.019882000001</v>
      </c>
      <c r="CO29" s="6">
        <f>$B29*Prices!CO29</f>
        <v>17780.239173999998</v>
      </c>
      <c r="CP29" s="6">
        <f>$B29*Prices!CP29</f>
        <v>20906.059763999998</v>
      </c>
      <c r="CQ29" s="6">
        <f>$B29*Prices!CQ29</f>
        <v>18249.880471999997</v>
      </c>
      <c r="CR29" s="6">
        <f>$B29*Prices!CR29</f>
        <v>18723.059763999998</v>
      </c>
      <c r="CS29" s="6">
        <f>$B29*Prices!CS29</f>
        <v>16522.360472</v>
      </c>
      <c r="CT29" s="6">
        <f>$B29*Prices!CT29</f>
        <v>17639.820589999999</v>
      </c>
      <c r="CU29" s="6">
        <f>$B29*Prices!CU29</f>
        <v>16332.380471999999</v>
      </c>
      <c r="CV29" s="6">
        <f>$B29*Prices!CV29</f>
        <v>15926.460117999999</v>
      </c>
      <c r="CW29" s="6">
        <f>$B29*Prices!CW29</f>
        <v>18124.800708000002</v>
      </c>
      <c r="CX29" s="6">
        <f>$B29*Prices!CX29</f>
        <v>18305.34059</v>
      </c>
      <c r="CY29" s="6">
        <f>$B29*Prices!CY29</f>
        <v>19563.219174000002</v>
      </c>
      <c r="CZ29" s="6">
        <f>$B29*Prices!CZ29</f>
        <v>18684.119528000003</v>
      </c>
      <c r="DA29" s="6">
        <f>$B29*Prices!DA29</f>
        <v>18835.15941</v>
      </c>
      <c r="DB29" s="6">
        <f>$B29*Prices!DB29</f>
        <v>18241.619528000003</v>
      </c>
      <c r="DC29" s="6"/>
      <c r="DD29" s="6"/>
      <c r="DE29" s="6"/>
      <c r="DF29" s="6"/>
      <c r="DG29" s="6"/>
      <c r="DH29" s="6"/>
      <c r="DI29" s="6"/>
      <c r="DJ29" s="6"/>
    </row>
    <row r="30" spans="1:114">
      <c r="A30" s="3" t="s">
        <v>27</v>
      </c>
      <c r="B30">
        <v>144</v>
      </c>
      <c r="C30" s="6">
        <f>$B30*Prices!C30</f>
        <v>14921.28</v>
      </c>
      <c r="D30" s="6">
        <f>$B30*Prices!D30</f>
        <v>15014.88</v>
      </c>
      <c r="E30" s="6">
        <f>$B30*Prices!E30</f>
        <v>14787.36</v>
      </c>
      <c r="F30" s="6">
        <f>$B30*Prices!F30</f>
        <v>14644.800000000001</v>
      </c>
      <c r="G30" s="6">
        <f>$B30*Prices!G30</f>
        <v>14896.800000000001</v>
      </c>
      <c r="H30" s="6">
        <f>$B30*Prices!H30</f>
        <v>14859.36</v>
      </c>
      <c r="I30" s="6">
        <f>$B30*Prices!I30</f>
        <v>14876.64</v>
      </c>
      <c r="J30" s="6">
        <f>$B30*Prices!J30</f>
        <v>14891.039999999999</v>
      </c>
      <c r="K30" s="6">
        <f>$B30*Prices!K30</f>
        <v>14997.6</v>
      </c>
      <c r="L30" s="6">
        <f>$B30*Prices!L30</f>
        <v>15118.56</v>
      </c>
      <c r="M30" s="6">
        <f>$B30*Prices!M30</f>
        <v>15168.960000000001</v>
      </c>
      <c r="N30" s="6">
        <f>$B30*Prices!N30</f>
        <v>15192</v>
      </c>
      <c r="O30" s="6">
        <f>$B30*Prices!O30</f>
        <v>15298.56</v>
      </c>
      <c r="P30" s="6">
        <f>$B30*Prices!P30</f>
        <v>15433.920000000002</v>
      </c>
      <c r="Q30" s="6">
        <f>$B30*Prices!Q30</f>
        <v>15431.039999999999</v>
      </c>
      <c r="R30" s="6">
        <f>$B30*Prices!R30</f>
        <v>15425.28</v>
      </c>
      <c r="S30" s="6">
        <f>$B30*Prices!S30</f>
        <v>15541.920000000002</v>
      </c>
      <c r="T30" s="6">
        <f>$B30*Prices!T30</f>
        <v>15552</v>
      </c>
      <c r="U30" s="6">
        <f>$B30*Prices!U30</f>
        <v>15577.920000000002</v>
      </c>
      <c r="V30" s="6">
        <f>$B30*Prices!V30</f>
        <v>15602.4</v>
      </c>
      <c r="W30" s="6">
        <f>$B30*Prices!W30</f>
        <v>15562.079999999998</v>
      </c>
      <c r="X30" s="6">
        <f>$B30*Prices!X30</f>
        <v>15397.920000000002</v>
      </c>
      <c r="Y30" s="6">
        <f>$B30*Prices!Y30</f>
        <v>15268.32</v>
      </c>
      <c r="Z30" s="6">
        <f>$B30*Prices!Z30</f>
        <v>15425.28</v>
      </c>
      <c r="AA30" s="6">
        <f>$B30*Prices!AA30</f>
        <v>15461.28</v>
      </c>
      <c r="AB30" s="6">
        <f>$B30*Prices!AB30</f>
        <v>15588</v>
      </c>
      <c r="AC30" s="6">
        <f>$B30*Prices!AC30</f>
        <v>15600.960000000001</v>
      </c>
      <c r="AD30" s="6">
        <f>$B30*Prices!AD30</f>
        <v>15652.800000000001</v>
      </c>
      <c r="AE30" s="6">
        <f>$B30*Prices!AE30</f>
        <v>15691.68</v>
      </c>
      <c r="AF30" s="6">
        <f>$B30*Prices!AF30</f>
        <v>15880.32</v>
      </c>
      <c r="AG30" s="6">
        <f>$B30*Prices!AG30</f>
        <v>15917.76</v>
      </c>
      <c r="AH30" s="6">
        <f>$B30*Prices!AH30</f>
        <v>16077.6</v>
      </c>
      <c r="AI30" s="6">
        <f>$B30*Prices!AI30</f>
        <v>16135.199999999999</v>
      </c>
      <c r="AJ30" s="6">
        <f>$B30*Prices!AJ30</f>
        <v>16060.32</v>
      </c>
      <c r="AK30" s="6">
        <f>$B30*Prices!AK30</f>
        <v>16158.24</v>
      </c>
      <c r="AL30" s="6">
        <f>$B30*Prices!AL30</f>
        <v>16174.079999999998</v>
      </c>
      <c r="AM30" s="6">
        <f>$B30*Prices!AM30</f>
        <v>16024.32</v>
      </c>
      <c r="AN30" s="6">
        <f>$B30*Prices!AN30</f>
        <v>16066.079999999998</v>
      </c>
      <c r="AO30" s="6">
        <f>$B30*Prices!AO30</f>
        <v>16104.960000000001</v>
      </c>
      <c r="AP30" s="6">
        <f>$B30*Prices!AP30</f>
        <v>16132.32</v>
      </c>
      <c r="AQ30" s="6">
        <f>$B30*Prices!AQ30</f>
        <v>16103.52</v>
      </c>
      <c r="AR30" s="6">
        <f>$B30*Prices!AR30</f>
        <v>16043.039999999999</v>
      </c>
      <c r="AS30" s="6">
        <f>$B30*Prices!AS30</f>
        <v>16135.199999999999</v>
      </c>
      <c r="AT30" s="6">
        <f>$B30*Prices!AT30</f>
        <v>16110.72</v>
      </c>
      <c r="AU30" s="6">
        <f>$B30*Prices!AU30</f>
        <v>16115.039999999999</v>
      </c>
      <c r="AV30" s="6">
        <f>$B30*Prices!AV30</f>
        <v>16066.079999999998</v>
      </c>
      <c r="AW30" s="6">
        <f>$B30*Prices!AW30</f>
        <v>16018.56</v>
      </c>
      <c r="AX30" s="6">
        <f>$B30*Prices!AX30</f>
        <v>16132.32</v>
      </c>
      <c r="AY30" s="6">
        <f>$B30*Prices!AY30</f>
        <v>16084.800000000001</v>
      </c>
      <c r="AZ30" s="6">
        <f>$B30*Prices!AZ30</f>
        <v>16128</v>
      </c>
      <c r="BA30" s="6">
        <f>$B30*Prices!BA30</f>
        <v>16057.44</v>
      </c>
      <c r="BB30" s="6">
        <f>$B30*Prices!BB30</f>
        <v>16158.24</v>
      </c>
      <c r="BC30" s="6">
        <f>$B30*Prices!BC30</f>
        <v>16246.079999999998</v>
      </c>
      <c r="BD30" s="6">
        <f>$B30*Prices!BD30</f>
        <v>16437.600000000002</v>
      </c>
      <c r="BE30" s="6">
        <f>$B30*Prices!BE30</f>
        <v>16410.239999999998</v>
      </c>
      <c r="BF30" s="6">
        <f>$B30*Prices!BF30</f>
        <v>16359.84</v>
      </c>
      <c r="BG30" s="6">
        <f>$B30*Prices!BG30</f>
        <v>16449.12</v>
      </c>
      <c r="BH30" s="6">
        <f>$B30*Prices!BH30</f>
        <v>16397.28</v>
      </c>
      <c r="BI30" s="6">
        <f>$B30*Prices!BI30</f>
        <v>16272</v>
      </c>
      <c r="BJ30" s="6">
        <f>$B30*Prices!BJ30</f>
        <v>16580.16</v>
      </c>
      <c r="BK30" s="6">
        <f>$B30*Prices!BK30</f>
        <v>16695.36</v>
      </c>
      <c r="BL30" s="6">
        <f>$B30*Prices!BL30</f>
        <v>16502.399999999998</v>
      </c>
      <c r="BM30" s="6">
        <f>$B30*Prices!BM30</f>
        <v>16107.84</v>
      </c>
      <c r="BN30" s="6">
        <f>$B30*Prices!BN30</f>
        <v>16336.800000000001</v>
      </c>
      <c r="BO30" s="6">
        <f>$B30*Prices!BO30</f>
        <v>16521.12</v>
      </c>
      <c r="BP30" s="6">
        <f>$B30*Prices!BP30</f>
        <v>16803.36</v>
      </c>
      <c r="BQ30" s="6">
        <f>$B30*Prices!BQ30</f>
        <v>16768.8</v>
      </c>
      <c r="BR30" s="6">
        <f>$B30*Prices!BR30</f>
        <v>16801.920000000002</v>
      </c>
      <c r="BS30" s="6">
        <f>$B30*Prices!BS30</f>
        <v>16930.079999999998</v>
      </c>
      <c r="BT30" s="6">
        <f>$B30*Prices!BT30</f>
        <v>17013.600000000002</v>
      </c>
      <c r="BU30" s="6">
        <f>$B30*Prices!BU30</f>
        <v>17100</v>
      </c>
      <c r="BV30" s="6">
        <f>$B30*Prices!BV30</f>
        <v>17189.28</v>
      </c>
      <c r="BW30" s="6">
        <f>$B30*Prices!BW30</f>
        <v>17104.32</v>
      </c>
      <c r="BX30" s="6">
        <f>$B30*Prices!BX30</f>
        <v>17200.8</v>
      </c>
      <c r="BY30" s="6">
        <f>$B30*Prices!BY30</f>
        <v>17061.12</v>
      </c>
      <c r="BZ30" s="6">
        <f>$B30*Prices!BZ30</f>
        <v>16859.52</v>
      </c>
      <c r="CA30" s="6">
        <f>$B30*Prices!CA30</f>
        <v>16754.399711999999</v>
      </c>
      <c r="CB30" s="6">
        <f>$B30*Prices!CB30</f>
        <v>16319.520288</v>
      </c>
      <c r="CC30" s="6">
        <f>$B30*Prices!CC30</f>
        <v>15999.840144</v>
      </c>
      <c r="CD30" s="6">
        <f>$B30*Prices!CD30</f>
        <v>16212.959424000001</v>
      </c>
      <c r="CE30" s="6">
        <f>$B30*Prices!CE30</f>
        <v>15390.719568</v>
      </c>
      <c r="CF30" s="6">
        <f>$B30*Prices!CF30</f>
        <v>15056.639711999998</v>
      </c>
      <c r="CG30" s="6">
        <f>$B30*Prices!CG30</f>
        <v>15553.440288</v>
      </c>
      <c r="CH30" s="6">
        <f>$B30*Prices!CH30</f>
        <v>15338.879568</v>
      </c>
      <c r="CI30" s="6">
        <f>$B30*Prices!CI30</f>
        <v>15926.399712</v>
      </c>
      <c r="CJ30" s="6">
        <f>$B30*Prices!CJ30</f>
        <v>15344.639711999998</v>
      </c>
      <c r="CK30" s="6">
        <f>$B30*Prices!CK30</f>
        <v>15216.479712</v>
      </c>
      <c r="CL30" s="6">
        <f>$B30*Prices!CL30</f>
        <v>14382.719568</v>
      </c>
      <c r="CM30" s="6">
        <f>$B30*Prices!CM30</f>
        <v>14844.959424000001</v>
      </c>
      <c r="CN30" s="6">
        <f>$B30*Prices!CN30</f>
        <v>14248.799567999999</v>
      </c>
      <c r="CO30" s="6">
        <f>$B30*Prices!CO30</f>
        <v>13392</v>
      </c>
      <c r="CP30" s="6">
        <f>$B30*Prices!CP30</f>
        <v>14204.159856</v>
      </c>
      <c r="CQ30" s="6">
        <f>$B30*Prices!CQ30</f>
        <v>12651.840144</v>
      </c>
      <c r="CR30" s="6">
        <f>$B30*Prices!CR30</f>
        <v>13233.600288</v>
      </c>
      <c r="CS30" s="6">
        <f>$B30*Prices!CS30</f>
        <v>11636.639711999998</v>
      </c>
      <c r="CT30" s="6">
        <f>$B30*Prices!CT30</f>
        <v>11380.319856</v>
      </c>
      <c r="CU30" s="6">
        <f>$B30*Prices!CU30</f>
        <v>11501.280432</v>
      </c>
      <c r="CV30" s="6">
        <f>$B30*Prices!CV30</f>
        <v>11043.360288000002</v>
      </c>
      <c r="CW30" s="6">
        <f>$B30*Prices!CW30</f>
        <v>12517.920000000002</v>
      </c>
      <c r="CX30" s="6">
        <f>$B30*Prices!CX30</f>
        <v>12507.840144</v>
      </c>
      <c r="CY30" s="6">
        <f>$B30*Prices!CY30</f>
        <v>12363.840144</v>
      </c>
      <c r="CZ30" s="6">
        <f>$B30*Prices!CZ30</f>
        <v>12304.799567999999</v>
      </c>
      <c r="DA30" s="6">
        <f>$B30*Prices!DA30</f>
        <v>12895.200432000001</v>
      </c>
      <c r="DB30" s="6">
        <f>$B30*Prices!DB30</f>
        <v>12450.239856</v>
      </c>
      <c r="DC30" s="6"/>
      <c r="DD30" s="6"/>
      <c r="DE30" s="6"/>
      <c r="DF30" s="6"/>
      <c r="DG30" s="6"/>
      <c r="DH30" s="6"/>
      <c r="DI30" s="6"/>
      <c r="DJ30" s="6"/>
    </row>
    <row r="31" spans="1:114">
      <c r="A31" s="3" t="s">
        <v>28</v>
      </c>
      <c r="B31">
        <v>200</v>
      </c>
      <c r="C31" s="6">
        <f>$B31*Prices!C31</f>
        <v>24984</v>
      </c>
      <c r="D31" s="6">
        <f>$B31*Prices!D31</f>
        <v>25560</v>
      </c>
      <c r="E31" s="6">
        <f>$B31*Prices!E31</f>
        <v>25764</v>
      </c>
      <c r="F31" s="6">
        <f>$B31*Prices!F31</f>
        <v>25820</v>
      </c>
      <c r="G31" s="6">
        <f>$B31*Prices!G31</f>
        <v>25860.000000000004</v>
      </c>
      <c r="H31" s="6">
        <f>$B31*Prices!H31</f>
        <v>26000</v>
      </c>
      <c r="I31" s="6">
        <f>$B31*Prices!I31</f>
        <v>26076</v>
      </c>
      <c r="J31" s="6">
        <f>$B31*Prices!J31</f>
        <v>25983.999999999996</v>
      </c>
      <c r="K31" s="6">
        <f>$B31*Prices!K31</f>
        <v>25832</v>
      </c>
      <c r="L31" s="6">
        <f>$B31*Prices!L31</f>
        <v>25695.999999999996</v>
      </c>
      <c r="M31" s="6">
        <f>$B31*Prices!M31</f>
        <v>25720</v>
      </c>
      <c r="N31" s="6">
        <f>$B31*Prices!N31</f>
        <v>25906</v>
      </c>
      <c r="O31" s="6">
        <f>$B31*Prices!O31</f>
        <v>26124</v>
      </c>
      <c r="P31" s="6">
        <f>$B31*Prices!P31</f>
        <v>26116.000000000004</v>
      </c>
      <c r="Q31" s="6">
        <f>$B31*Prices!Q31</f>
        <v>25926</v>
      </c>
      <c r="R31" s="6">
        <f>$B31*Prices!R31</f>
        <v>25986</v>
      </c>
      <c r="S31" s="6">
        <f>$B31*Prices!S31</f>
        <v>26158</v>
      </c>
      <c r="T31" s="6">
        <f>$B31*Prices!T31</f>
        <v>26298</v>
      </c>
      <c r="U31" s="6">
        <f>$B31*Prices!U31</f>
        <v>26333.999999999996</v>
      </c>
      <c r="V31" s="6">
        <f>$B31*Prices!V31</f>
        <v>26412</v>
      </c>
      <c r="W31" s="6">
        <f>$B31*Prices!W31</f>
        <v>26352</v>
      </c>
      <c r="X31" s="6">
        <f>$B31*Prices!X31</f>
        <v>26294</v>
      </c>
      <c r="Y31" s="6">
        <f>$B31*Prices!Y31</f>
        <v>25956</v>
      </c>
      <c r="Z31" s="6">
        <f>$B31*Prices!Z31</f>
        <v>26468</v>
      </c>
      <c r="AA31" s="6">
        <f>$B31*Prices!AA31</f>
        <v>26612</v>
      </c>
      <c r="AB31" s="6">
        <f>$B31*Prices!AB31</f>
        <v>27008</v>
      </c>
      <c r="AC31" s="6">
        <f>$B31*Prices!AC31</f>
        <v>26882</v>
      </c>
      <c r="AD31" s="6">
        <f>$B31*Prices!AD31</f>
        <v>26900</v>
      </c>
      <c r="AE31" s="6">
        <f>$B31*Prices!AE31</f>
        <v>26836</v>
      </c>
      <c r="AF31" s="6">
        <f>$B31*Prices!AF31</f>
        <v>27604.000000000004</v>
      </c>
      <c r="AG31" s="6">
        <f>$B31*Prices!AG31</f>
        <v>27362</v>
      </c>
      <c r="AH31" s="6">
        <f>$B31*Prices!AH31</f>
        <v>27468</v>
      </c>
      <c r="AI31" s="6">
        <f>$B31*Prices!AI31</f>
        <v>27636</v>
      </c>
      <c r="AJ31" s="6">
        <f>$B31*Prices!AJ31</f>
        <v>27608</v>
      </c>
      <c r="AK31" s="6">
        <f>$B31*Prices!AK31</f>
        <v>27470</v>
      </c>
      <c r="AL31" s="6">
        <f>$B31*Prices!AL31</f>
        <v>27448</v>
      </c>
      <c r="AM31" s="6">
        <f>$B31*Prices!AM31</f>
        <v>27439.999999999996</v>
      </c>
      <c r="AN31" s="6">
        <f>$B31*Prices!AN31</f>
        <v>27516.000000000004</v>
      </c>
      <c r="AO31" s="6">
        <f>$B31*Prices!AO31</f>
        <v>27808</v>
      </c>
      <c r="AP31" s="6">
        <f>$B31*Prices!AP31</f>
        <v>27827.999999999996</v>
      </c>
      <c r="AQ31" s="6">
        <f>$B31*Prices!AQ31</f>
        <v>27726</v>
      </c>
      <c r="AR31" s="6">
        <f>$B31*Prices!AR31</f>
        <v>27880</v>
      </c>
      <c r="AS31" s="6">
        <f>$B31*Prices!AS31</f>
        <v>28218</v>
      </c>
      <c r="AT31" s="6">
        <f>$B31*Prices!AT31</f>
        <v>27668</v>
      </c>
      <c r="AU31" s="6">
        <f>$B31*Prices!AU31</f>
        <v>27645.999999999996</v>
      </c>
      <c r="AV31" s="6">
        <f>$B31*Prices!AV31</f>
        <v>27176</v>
      </c>
      <c r="AW31" s="6">
        <f>$B31*Prices!AW31</f>
        <v>27388</v>
      </c>
      <c r="AX31" s="6">
        <f>$B31*Prices!AX31</f>
        <v>27488</v>
      </c>
      <c r="AY31" s="6">
        <f>$B31*Prices!AY31</f>
        <v>27214</v>
      </c>
      <c r="AZ31" s="6">
        <f>$B31*Prices!AZ31</f>
        <v>27439.999999999996</v>
      </c>
      <c r="BA31" s="6">
        <f>$B31*Prices!BA31</f>
        <v>27760.000000000004</v>
      </c>
      <c r="BB31" s="6">
        <f>$B31*Prices!BB31</f>
        <v>27344</v>
      </c>
      <c r="BC31" s="6">
        <f>$B31*Prices!BC31</f>
        <v>27450</v>
      </c>
      <c r="BD31" s="6">
        <f>$B31*Prices!BD31</f>
        <v>27639.999999999996</v>
      </c>
      <c r="BE31" s="6">
        <f>$B31*Prices!BE31</f>
        <v>27368</v>
      </c>
      <c r="BF31" s="6">
        <f>$B31*Prices!BF31</f>
        <v>27336</v>
      </c>
      <c r="BG31" s="6">
        <f>$B31*Prices!BG31</f>
        <v>27308</v>
      </c>
      <c r="BH31" s="6">
        <f>$B31*Prices!BH31</f>
        <v>26630</v>
      </c>
      <c r="BI31" s="6">
        <f>$B31*Prices!BI31</f>
        <v>26406</v>
      </c>
      <c r="BJ31" s="6">
        <f>$B31*Prices!BJ31</f>
        <v>26886</v>
      </c>
      <c r="BK31" s="6">
        <f>$B31*Prices!BK31</f>
        <v>26845.999999999996</v>
      </c>
      <c r="BL31" s="6">
        <f>$B31*Prices!BL31</f>
        <v>27177.999999999996</v>
      </c>
      <c r="BM31" s="6">
        <f>$B31*Prices!BM31</f>
        <v>26472.000000000004</v>
      </c>
      <c r="BN31" s="6">
        <f>$B31*Prices!BN31</f>
        <v>26674</v>
      </c>
      <c r="BO31" s="6">
        <f>$B31*Prices!BO31</f>
        <v>27058</v>
      </c>
      <c r="BP31" s="6">
        <f>$B31*Prices!BP31</f>
        <v>27518</v>
      </c>
      <c r="BQ31" s="6">
        <f>$B31*Prices!BQ31</f>
        <v>27522.000000000004</v>
      </c>
      <c r="BR31" s="6">
        <f>$B31*Prices!BR31</f>
        <v>27433.999999999996</v>
      </c>
      <c r="BS31" s="6">
        <f>$B31*Prices!BS31</f>
        <v>27548</v>
      </c>
      <c r="BT31" s="6">
        <f>$B31*Prices!BT31</f>
        <v>27600</v>
      </c>
      <c r="BU31" s="6">
        <f>$B31*Prices!BU31</f>
        <v>27600</v>
      </c>
      <c r="BV31" s="6">
        <f>$B31*Prices!BV31</f>
        <v>27576</v>
      </c>
      <c r="BW31" s="6">
        <f>$B31*Prices!BW31</f>
        <v>27492</v>
      </c>
      <c r="BX31" s="6">
        <f>$B31*Prices!BX31</f>
        <v>27127.999999999996</v>
      </c>
      <c r="BY31" s="6">
        <f>$B31*Prices!BY31</f>
        <v>27498</v>
      </c>
      <c r="BZ31" s="6">
        <f>$B31*Prices!BZ31</f>
        <v>27498</v>
      </c>
      <c r="CA31" s="6">
        <f>$B31*Prices!CA31</f>
        <v>27161.999600000003</v>
      </c>
      <c r="CB31" s="6">
        <f>$B31*Prices!CB31</f>
        <v>26432.000799999998</v>
      </c>
      <c r="CC31" s="6">
        <f>$B31*Prices!CC31</f>
        <v>25252.000400000001</v>
      </c>
      <c r="CD31" s="6">
        <f>$B31*Prices!CD31</f>
        <v>25327.999800000001</v>
      </c>
      <c r="CE31" s="6">
        <f>$B31*Prices!CE31</f>
        <v>24274.000599999999</v>
      </c>
      <c r="CF31" s="6">
        <f>$B31*Prices!CF31</f>
        <v>23222.000199999999</v>
      </c>
      <c r="CG31" s="6">
        <f>$B31*Prices!CG31</f>
        <v>24303.999400000001</v>
      </c>
      <c r="CH31" s="6">
        <f>$B31*Prices!CH31</f>
        <v>23391.999799999998</v>
      </c>
      <c r="CI31" s="6">
        <f>$B31*Prices!CI31</f>
        <v>23969.999599999999</v>
      </c>
      <c r="CJ31" s="6">
        <f>$B31*Prices!CJ31</f>
        <v>22794.000199999999</v>
      </c>
      <c r="CK31" s="6">
        <f>$B31*Prices!CK31</f>
        <v>21616.000399999997</v>
      </c>
      <c r="CL31" s="6">
        <f>$B31*Prices!CL31</f>
        <v>18688.000400000001</v>
      </c>
      <c r="CM31" s="6">
        <f>$B31*Prices!CM31</f>
        <v>20139.999400000001</v>
      </c>
      <c r="CN31" s="6">
        <f>$B31*Prices!CN31</f>
        <v>19191.999799999998</v>
      </c>
      <c r="CO31" s="6">
        <f>$B31*Prices!CO31</f>
        <v>17610.000599999999</v>
      </c>
      <c r="CP31" s="6">
        <f>$B31*Prices!CP31</f>
        <v>20782.000800000002</v>
      </c>
      <c r="CQ31" s="6">
        <f>$B31*Prices!CQ31</f>
        <v>17672.000199999999</v>
      </c>
      <c r="CR31" s="6">
        <f>$B31*Prices!CR31</f>
        <v>18752.000400000001</v>
      </c>
      <c r="CS31" s="6">
        <f>$B31*Prices!CS31</f>
        <v>16777.999800000001</v>
      </c>
      <c r="CT31" s="6">
        <f>$B31*Prices!CT31</f>
        <v>17060.000599999999</v>
      </c>
      <c r="CU31" s="6">
        <f>$B31*Prices!CU31</f>
        <v>16700</v>
      </c>
      <c r="CV31" s="6">
        <f>$B31*Prices!CV31</f>
        <v>15805.999800000001</v>
      </c>
      <c r="CW31" s="6">
        <f>$B31*Prices!CW31</f>
        <v>17686</v>
      </c>
      <c r="CX31" s="6">
        <f>$B31*Prices!CX31</f>
        <v>18346.000599999999</v>
      </c>
      <c r="CY31" s="6">
        <f>$B31*Prices!CY31</f>
        <v>19624.000599999999</v>
      </c>
      <c r="CZ31" s="6">
        <f>$B31*Prices!CZ31</f>
        <v>18225.999400000001</v>
      </c>
      <c r="DA31" s="6">
        <f>$B31*Prices!DA31</f>
        <v>18700</v>
      </c>
      <c r="DB31" s="6">
        <f>$B31*Prices!DB31</f>
        <v>18005.999800000001</v>
      </c>
      <c r="DC31" s="6"/>
      <c r="DD31" s="6"/>
      <c r="DE31" s="6"/>
      <c r="DF31" s="6"/>
      <c r="DG31" s="6"/>
      <c r="DH31" s="6"/>
      <c r="DI31" s="6"/>
      <c r="DJ31" s="6"/>
    </row>
    <row r="32" spans="1:114">
      <c r="A32" s="3" t="s">
        <v>29</v>
      </c>
      <c r="B32">
        <v>245</v>
      </c>
      <c r="C32" s="6">
        <f>$B32*Prices!C32</f>
        <v>9973.9500000000007</v>
      </c>
      <c r="D32" s="6">
        <f>$B32*Prices!D32</f>
        <v>10236.1</v>
      </c>
      <c r="E32" s="6">
        <f>$B32*Prices!E32</f>
        <v>10588.9</v>
      </c>
      <c r="F32" s="6">
        <f>$B32*Prices!F32</f>
        <v>10637.9</v>
      </c>
      <c r="G32" s="6">
        <f>$B32*Prices!G32</f>
        <v>10554.6</v>
      </c>
      <c r="H32" s="6">
        <f>$B32*Prices!H32</f>
        <v>10657.5</v>
      </c>
      <c r="I32" s="6">
        <f>$B32*Prices!I32</f>
        <v>10667.3</v>
      </c>
      <c r="J32" s="6">
        <f>$B32*Prices!J32</f>
        <v>10591.349999999999</v>
      </c>
      <c r="K32" s="6">
        <f>$B32*Prices!K32</f>
        <v>10652.599999999999</v>
      </c>
      <c r="L32" s="6">
        <f>$B32*Prices!L32</f>
        <v>10488.45</v>
      </c>
      <c r="M32" s="6">
        <f>$B32*Prices!M32</f>
        <v>10628.1</v>
      </c>
      <c r="N32" s="6">
        <f>$B32*Prices!N32</f>
        <v>10865.75</v>
      </c>
      <c r="O32" s="6">
        <f>$B32*Prices!O32</f>
        <v>10824.1</v>
      </c>
      <c r="P32" s="6">
        <f>$B32*Prices!P32</f>
        <v>10878</v>
      </c>
      <c r="Q32" s="6">
        <f>$B32*Prices!Q32</f>
        <v>10963.75</v>
      </c>
      <c r="R32" s="6">
        <f>$B32*Prices!R32</f>
        <v>11767.35</v>
      </c>
      <c r="S32" s="6">
        <f>$B32*Prices!S32</f>
        <v>11809</v>
      </c>
      <c r="T32" s="6">
        <f>$B32*Prices!T32</f>
        <v>12080.95</v>
      </c>
      <c r="U32" s="6">
        <f>$B32*Prices!U32</f>
        <v>12063.800000000001</v>
      </c>
      <c r="V32" s="6">
        <f>$B32*Prices!V32</f>
        <v>12210.800000000001</v>
      </c>
      <c r="W32" s="6">
        <f>$B32*Prices!W32</f>
        <v>12127.5</v>
      </c>
      <c r="X32" s="6">
        <f>$B32*Prices!X32</f>
        <v>12144.65</v>
      </c>
      <c r="Y32" s="6">
        <f>$B32*Prices!Y32</f>
        <v>11921.699999999999</v>
      </c>
      <c r="Z32" s="6">
        <f>$B32*Prices!Z32</f>
        <v>12012.35</v>
      </c>
      <c r="AA32" s="6">
        <f>$B32*Prices!AA32</f>
        <v>11941.300000000001</v>
      </c>
      <c r="AB32" s="6">
        <f>$B32*Prices!AB32</f>
        <v>11992.75</v>
      </c>
      <c r="AC32" s="6">
        <f>$B32*Prices!AC32</f>
        <v>11992.75</v>
      </c>
      <c r="AD32" s="6">
        <f>$B32*Prices!AD32</f>
        <v>12051.55</v>
      </c>
      <c r="AE32" s="6">
        <f>$B32*Prices!AE32</f>
        <v>12152</v>
      </c>
      <c r="AF32" s="6">
        <f>$B32*Prices!AF32</f>
        <v>12512.15</v>
      </c>
      <c r="AG32" s="6">
        <f>$B32*Prices!AG32</f>
        <v>12237.75</v>
      </c>
      <c r="AH32" s="6">
        <f>$B32*Prices!AH32</f>
        <v>12181.4</v>
      </c>
      <c r="AI32" s="6">
        <f>$B32*Prices!AI32</f>
        <v>12125.050000000001</v>
      </c>
      <c r="AJ32" s="6">
        <f>$B32*Prices!AJ32</f>
        <v>11921.699999999999</v>
      </c>
      <c r="AK32" s="6">
        <f>$B32*Prices!AK32</f>
        <v>11809</v>
      </c>
      <c r="AL32" s="6">
        <f>$B32*Prices!AL32</f>
        <v>11789.4</v>
      </c>
      <c r="AM32" s="6">
        <f>$B32*Prices!AM32</f>
        <v>11933.95</v>
      </c>
      <c r="AN32" s="6">
        <f>$B32*Prices!AN32</f>
        <v>11933.95</v>
      </c>
      <c r="AO32" s="6">
        <f>$B32*Prices!AO32</f>
        <v>11899.65</v>
      </c>
      <c r="AP32" s="6">
        <f>$B32*Prices!AP32</f>
        <v>11843.300000000001</v>
      </c>
      <c r="AQ32" s="6">
        <f>$B32*Prices!AQ32</f>
        <v>11715.9</v>
      </c>
      <c r="AR32" s="6">
        <f>$B32*Prices!AR32</f>
        <v>11652.2</v>
      </c>
      <c r="AS32" s="6">
        <f>$B32*Prices!AS32</f>
        <v>11816.349999999999</v>
      </c>
      <c r="AT32" s="6">
        <f>$B32*Prices!AT32</f>
        <v>11517.449999999999</v>
      </c>
      <c r="AU32" s="6">
        <f>$B32*Prices!AU32</f>
        <v>11598.300000000001</v>
      </c>
      <c r="AV32" s="6">
        <f>$B32*Prices!AV32</f>
        <v>11666.9</v>
      </c>
      <c r="AW32" s="6">
        <f>$B32*Prices!AW32</f>
        <v>11737.949999999999</v>
      </c>
      <c r="AX32" s="6">
        <f>$B32*Prices!AX32</f>
        <v>11786.95</v>
      </c>
      <c r="AY32" s="6">
        <f>$B32*Prices!AY32</f>
        <v>11711</v>
      </c>
      <c r="AZ32" s="6">
        <f>$B32*Prices!AZ32</f>
        <v>11764.900000000001</v>
      </c>
      <c r="BA32" s="6">
        <f>$B32*Prices!BA32</f>
        <v>11688.95</v>
      </c>
      <c r="BB32" s="6">
        <f>$B32*Prices!BB32</f>
        <v>11544.4</v>
      </c>
      <c r="BC32" s="6">
        <f>$B32*Prices!BC32</f>
        <v>12005</v>
      </c>
      <c r="BD32" s="6">
        <f>$B32*Prices!BD32</f>
        <v>11843.300000000001</v>
      </c>
      <c r="BE32" s="6">
        <f>$B32*Prices!BE32</f>
        <v>11870.25</v>
      </c>
      <c r="BF32" s="6">
        <f>$B32*Prices!BF32</f>
        <v>11987.85</v>
      </c>
      <c r="BG32" s="6">
        <f>$B32*Prices!BG32</f>
        <v>11862.9</v>
      </c>
      <c r="BH32" s="6">
        <f>$B32*Prices!BH32</f>
        <v>11551.75</v>
      </c>
      <c r="BI32" s="6">
        <f>$B32*Prices!BI32</f>
        <v>11211.199999999999</v>
      </c>
      <c r="BJ32" s="6">
        <f>$B32*Prices!BJ32</f>
        <v>11343.5</v>
      </c>
      <c r="BK32" s="6">
        <f>$B32*Prices!BK32</f>
        <v>11257.75</v>
      </c>
      <c r="BL32" s="6">
        <f>$B32*Prices!BL32</f>
        <v>11561.55</v>
      </c>
      <c r="BM32" s="6">
        <f>$B32*Prices!BM32</f>
        <v>11159.75</v>
      </c>
      <c r="BN32" s="6">
        <f>$B32*Prices!BN32</f>
        <v>11191.6</v>
      </c>
      <c r="BO32" s="6">
        <f>$B32*Prices!BO32</f>
        <v>11534.6</v>
      </c>
      <c r="BP32" s="6">
        <f>$B32*Prices!BP32</f>
        <v>11831.05</v>
      </c>
      <c r="BQ32" s="6">
        <f>$B32*Prices!BQ32</f>
        <v>11718.35</v>
      </c>
      <c r="BR32" s="6">
        <f>$B32*Prices!BR32</f>
        <v>11590.95</v>
      </c>
      <c r="BS32" s="6">
        <f>$B32*Prices!BS32</f>
        <v>11458.650000000001</v>
      </c>
      <c r="BT32" s="6">
        <f>$B32*Prices!BT32</f>
        <v>11679.15</v>
      </c>
      <c r="BU32" s="6">
        <f>$B32*Prices!BU32</f>
        <v>11708.55</v>
      </c>
      <c r="BV32" s="6">
        <f>$B32*Prices!BV32</f>
        <v>11586.05</v>
      </c>
      <c r="BW32" s="6">
        <f>$B32*Prices!BW32</f>
        <v>11571.349999999999</v>
      </c>
      <c r="BX32" s="6">
        <f>$B32*Prices!BX32</f>
        <v>11448.849999999999</v>
      </c>
      <c r="BY32" s="6">
        <f>$B32*Prices!BY32</f>
        <v>11622.8</v>
      </c>
      <c r="BZ32" s="6">
        <f>$B32*Prices!BZ32</f>
        <v>11902.1</v>
      </c>
      <c r="CA32" s="6">
        <f>$B32*Prices!CA32</f>
        <v>11316.549755</v>
      </c>
      <c r="CB32" s="6">
        <f>$B32*Prices!CB32</f>
        <v>10730.999755000001</v>
      </c>
      <c r="CC32" s="6">
        <f>$B32*Prices!CC32</f>
        <v>10191.99951</v>
      </c>
      <c r="CD32" s="6">
        <f>$B32*Prices!CD32</f>
        <v>10147.899509999999</v>
      </c>
      <c r="CE32" s="6">
        <f>$B32*Prices!CE32</f>
        <v>10267.949999999999</v>
      </c>
      <c r="CF32" s="6">
        <f>$B32*Prices!CF32</f>
        <v>9983.75</v>
      </c>
      <c r="CG32" s="6">
        <f>$B32*Prices!CG32</f>
        <v>10285.099999999999</v>
      </c>
      <c r="CH32" s="6">
        <f>$B32*Prices!CH32</f>
        <v>9383.4997550000007</v>
      </c>
      <c r="CI32" s="6">
        <f>$B32*Prices!CI32</f>
        <v>9104.1999999999989</v>
      </c>
      <c r="CJ32" s="6">
        <f>$B32*Prices!CJ32</f>
        <v>8525.9997550000007</v>
      </c>
      <c r="CK32" s="6">
        <f>$B32*Prices!CK32</f>
        <v>8361.8502449999996</v>
      </c>
      <c r="CL32" s="6">
        <f>$B32*Prices!CL32</f>
        <v>7416.15</v>
      </c>
      <c r="CM32" s="6">
        <f>$B32*Prices!CM32</f>
        <v>8070.299755</v>
      </c>
      <c r="CN32" s="6">
        <f>$B32*Prices!CN32</f>
        <v>7945.35</v>
      </c>
      <c r="CO32" s="6">
        <f>$B32*Prices!CO32</f>
        <v>6965.35</v>
      </c>
      <c r="CP32" s="6">
        <f>$B32*Prices!CP32</f>
        <v>8298.1497550000004</v>
      </c>
      <c r="CQ32" s="6">
        <f>$B32*Prices!CQ32</f>
        <v>7487.1997550000006</v>
      </c>
      <c r="CR32" s="6">
        <f>$B32*Prices!CR32</f>
        <v>8251.6</v>
      </c>
      <c r="CS32" s="6">
        <f>$B32*Prices!CS32</f>
        <v>7942.8995100000002</v>
      </c>
      <c r="CT32" s="6">
        <f>$B32*Prices!CT32</f>
        <v>7795.9</v>
      </c>
      <c r="CU32" s="6">
        <f>$B32*Prices!CU32</f>
        <v>7533.75</v>
      </c>
      <c r="CV32" s="6">
        <f>$B32*Prices!CV32</f>
        <v>6982.5</v>
      </c>
      <c r="CW32" s="6">
        <f>$B32*Prices!CW32</f>
        <v>7526.3997550000004</v>
      </c>
      <c r="CX32" s="6">
        <f>$B32*Prices!CX32</f>
        <v>8371.6495099999993</v>
      </c>
      <c r="CY32" s="6">
        <f>$B32*Prices!CY32</f>
        <v>8369.1999999999989</v>
      </c>
      <c r="CZ32" s="6">
        <f>$B32*Prices!CZ32</f>
        <v>8234.450245</v>
      </c>
      <c r="DA32" s="6">
        <f>$B32*Prices!DA32</f>
        <v>8410.8504900000007</v>
      </c>
      <c r="DB32" s="6">
        <f>$B32*Prices!DB32</f>
        <v>8236.8997550000004</v>
      </c>
      <c r="DC32" s="6"/>
      <c r="DD32" s="6"/>
      <c r="DE32" s="6"/>
      <c r="DF32" s="6"/>
      <c r="DG32" s="6"/>
      <c r="DH32" s="6"/>
      <c r="DI32" s="6"/>
      <c r="DJ32" s="6"/>
    </row>
    <row r="33" spans="1:114">
      <c r="A33" s="2" t="s">
        <v>30</v>
      </c>
      <c r="C33" s="6">
        <f>SUM(C34:C40)</f>
        <v>119990.66999999998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>
        <f>SUM(BM34:BM40)</f>
        <v>128013.08</v>
      </c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>
        <f>SUM(BZ34:BZ40)</f>
        <v>135824.38</v>
      </c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</row>
    <row r="34" spans="1:114">
      <c r="A34" s="3" t="s">
        <v>31</v>
      </c>
      <c r="B34">
        <v>86</v>
      </c>
      <c r="C34" s="6">
        <f>$B34*Prices!C34</f>
        <v>11887.779999999999</v>
      </c>
      <c r="D34" s="6">
        <f>$B34*Prices!D34</f>
        <v>11886.92</v>
      </c>
      <c r="E34" s="6">
        <f>$B34*Prices!E34</f>
        <v>11741.58</v>
      </c>
      <c r="F34" s="6">
        <f>$B34*Prices!F34</f>
        <v>12066.66</v>
      </c>
      <c r="G34" s="6">
        <f>$B34*Prices!G34</f>
        <v>12316.92</v>
      </c>
      <c r="H34" s="6">
        <f>$B34*Prices!H34</f>
        <v>12205.980000000001</v>
      </c>
      <c r="I34" s="6">
        <f>$B34*Prices!I34</f>
        <v>12384</v>
      </c>
      <c r="J34" s="6">
        <f>$B34*Prices!J34</f>
        <v>12325.519999999999</v>
      </c>
      <c r="K34" s="6">
        <f>$B34*Prices!K34</f>
        <v>12430.439999999999</v>
      </c>
      <c r="L34" s="6">
        <f>$B34*Prices!L34</f>
        <v>12415.82</v>
      </c>
      <c r="M34" s="6">
        <f>$B34*Prices!M34</f>
        <v>12472.58</v>
      </c>
      <c r="N34" s="6">
        <f>$B34*Prices!N34</f>
        <v>12623.08</v>
      </c>
      <c r="O34" s="6">
        <f>$B34*Prices!O34</f>
        <v>12469.140000000001</v>
      </c>
      <c r="P34" s="6">
        <f>$B34*Prices!P34</f>
        <v>12430.439999999999</v>
      </c>
      <c r="Q34" s="6">
        <f>$B34*Prices!Q34</f>
        <v>12261.019999999999</v>
      </c>
      <c r="R34" s="6">
        <f>$B34*Prices!R34</f>
        <v>12239.519999999999</v>
      </c>
      <c r="S34" s="6">
        <f>$B34*Prices!S34</f>
        <v>12368.519999999999</v>
      </c>
      <c r="T34" s="6">
        <f>$B34*Prices!T34</f>
        <v>12476.880000000001</v>
      </c>
      <c r="U34" s="6">
        <f>$B34*Prices!U34</f>
        <v>12457.960000000001</v>
      </c>
      <c r="V34" s="6">
        <f>$B34*Prices!V34</f>
        <v>12604.16</v>
      </c>
      <c r="W34" s="6">
        <f>$B34*Prices!W34</f>
        <v>12494.08</v>
      </c>
      <c r="X34" s="6">
        <f>$B34*Prices!X34</f>
        <v>12423.560000000001</v>
      </c>
      <c r="Y34" s="6">
        <f>$B34*Prices!Y34</f>
        <v>12332.4</v>
      </c>
      <c r="Z34" s="6">
        <f>$B34*Prices!Z34</f>
        <v>12759.82</v>
      </c>
      <c r="AA34" s="6">
        <f>$B34*Prices!AA34</f>
        <v>12695.32</v>
      </c>
      <c r="AB34" s="6">
        <f>$B34*Prices!AB34</f>
        <v>12773.58</v>
      </c>
      <c r="AC34" s="6">
        <f>$B34*Prices!AC34</f>
        <v>12617.92</v>
      </c>
      <c r="AD34" s="6">
        <f>$B34*Prices!AD34</f>
        <v>12489.779999999999</v>
      </c>
      <c r="AE34" s="6">
        <f>$B34*Prices!AE34</f>
        <v>12642.859999999999</v>
      </c>
      <c r="AF34" s="6">
        <f>$B34*Prices!AF34</f>
        <v>12677.26</v>
      </c>
      <c r="AG34" s="6">
        <f>$B34*Prices!AG34</f>
        <v>12734.019999999999</v>
      </c>
      <c r="AH34" s="6">
        <f>$B34*Prices!AH34</f>
        <v>12900</v>
      </c>
      <c r="AI34" s="6">
        <f>$B34*Prices!AI34</f>
        <v>12887.960000000001</v>
      </c>
      <c r="AJ34" s="6">
        <f>$B34*Prices!AJ34</f>
        <v>12803.68</v>
      </c>
      <c r="AK34" s="6">
        <f>$B34*Prices!AK34</f>
        <v>12796.800000000001</v>
      </c>
      <c r="AL34" s="6">
        <f>$B34*Prices!AL34</f>
        <v>12927.519999999999</v>
      </c>
      <c r="AM34" s="6">
        <f>$B34*Prices!AM34</f>
        <v>13006.640000000001</v>
      </c>
      <c r="AN34" s="6">
        <f>$B34*Prices!AN34</f>
        <v>12974.82</v>
      </c>
      <c r="AO34" s="6">
        <f>$B34*Prices!AO34</f>
        <v>12925.800000000001</v>
      </c>
      <c r="AP34" s="6">
        <f>$B34*Prices!AP34</f>
        <v>12900.859999999999</v>
      </c>
      <c r="AQ34" s="6">
        <f>$B34*Prices!AQ34</f>
        <v>12792.5</v>
      </c>
      <c r="AR34" s="6">
        <f>$B34*Prices!AR34</f>
        <v>12872.480000000001</v>
      </c>
      <c r="AS34" s="6">
        <f>$B34*Prices!AS34</f>
        <v>12831.199999999999</v>
      </c>
      <c r="AT34" s="6">
        <f>$B34*Prices!AT34</f>
        <v>12797.66</v>
      </c>
      <c r="AU34" s="6">
        <f>$B34*Prices!AU34</f>
        <v>12723.699999999999</v>
      </c>
      <c r="AV34" s="6">
        <f>$B34*Prices!AV34</f>
        <v>12712.519999999999</v>
      </c>
      <c r="AW34" s="6">
        <f>$B34*Prices!AW34</f>
        <v>12864.74</v>
      </c>
      <c r="AX34" s="6">
        <f>$B34*Prices!AX34</f>
        <v>12779.6</v>
      </c>
      <c r="AY34" s="6">
        <f>$B34*Prices!AY34</f>
        <v>12899.140000000001</v>
      </c>
      <c r="AZ34" s="6">
        <f>$B34*Prices!AZ34</f>
        <v>12815.720000000001</v>
      </c>
      <c r="BA34" s="6">
        <f>$B34*Prices!BA34</f>
        <v>12757.24</v>
      </c>
      <c r="BB34" s="6">
        <f>$B34*Prices!BB34</f>
        <v>12740.9</v>
      </c>
      <c r="BC34" s="6">
        <f>$B34*Prices!BC34</f>
        <v>12794.220000000001</v>
      </c>
      <c r="BD34" s="6">
        <f>$B34*Prices!BD34</f>
        <v>12846.68</v>
      </c>
      <c r="BE34" s="6">
        <f>$B34*Prices!BE34</f>
        <v>12855.279999999999</v>
      </c>
      <c r="BF34" s="6">
        <f>$B34*Prices!BF34</f>
        <v>12984.279999999999</v>
      </c>
      <c r="BG34" s="6">
        <f>$B34*Prices!BG34</f>
        <v>12857.859999999999</v>
      </c>
      <c r="BH34" s="6">
        <f>$B34*Prices!BH34</f>
        <v>12710.800000000001</v>
      </c>
      <c r="BI34" s="6">
        <f>$B34*Prices!BI34</f>
        <v>12731.439999999999</v>
      </c>
      <c r="BJ34" s="6">
        <f>$B34*Prices!BJ34</f>
        <v>12831.199999999999</v>
      </c>
      <c r="BK34" s="6">
        <f>$B34*Prices!BK34</f>
        <v>12964.5</v>
      </c>
      <c r="BL34" s="6">
        <f>$B34*Prices!BL34</f>
        <v>13001.480000000001</v>
      </c>
      <c r="BM34" s="6">
        <f>$B34*Prices!BM34</f>
        <v>12719.4</v>
      </c>
      <c r="BN34" s="6">
        <f>$B34*Prices!BN34</f>
        <v>12771.859999999999</v>
      </c>
      <c r="BO34" s="6">
        <f>$B34*Prices!BO34</f>
        <v>13482.220000000001</v>
      </c>
      <c r="BP34" s="6">
        <f>$B34*Prices!BP34</f>
        <v>13562.199999999999</v>
      </c>
      <c r="BQ34" s="6">
        <f>$B34*Prices!BQ34</f>
        <v>13674.859999999999</v>
      </c>
      <c r="BR34" s="6">
        <f>$B34*Prices!BR34</f>
        <v>13449.539999999999</v>
      </c>
      <c r="BS34" s="6">
        <f>$B34*Prices!BS34</f>
        <v>13606.92</v>
      </c>
      <c r="BT34" s="6">
        <f>$B34*Prices!BT34</f>
        <v>13698.939999999999</v>
      </c>
      <c r="BU34" s="6">
        <f>$B34*Prices!BU34</f>
        <v>13648.199999999999</v>
      </c>
      <c r="BV34" s="6">
        <f>$B34*Prices!BV34</f>
        <v>13650.779999999999</v>
      </c>
      <c r="BW34" s="6">
        <f>$B34*Prices!BW34</f>
        <v>13794.4</v>
      </c>
      <c r="BX34" s="6">
        <f>$B34*Prices!BX34</f>
        <v>13695.5</v>
      </c>
      <c r="BY34" s="6">
        <f>$B34*Prices!BY34</f>
        <v>13761.720000000001</v>
      </c>
      <c r="BZ34" s="6">
        <f>$B34*Prices!BZ34</f>
        <v>13621.539999999999</v>
      </c>
      <c r="CA34" s="6">
        <f>$B34*Prices!CA34</f>
        <v>13501.990797999999</v>
      </c>
      <c r="CB34" s="6">
        <f>$B34*Prices!CB34</f>
        <v>13239.483193999999</v>
      </c>
      <c r="CC34" s="6">
        <f>$B34*Prices!CC34</f>
        <v>12844.862906</v>
      </c>
      <c r="CD34" s="6">
        <f>$B34*Prices!CD34</f>
        <v>12572.918952</v>
      </c>
      <c r="CE34" s="6">
        <f>$B34*Prices!CE34</f>
        <v>12005.868234</v>
      </c>
      <c r="CF34" s="6">
        <f>$B34*Prices!CF34</f>
        <v>11679.877666</v>
      </c>
      <c r="CG34" s="6">
        <f>$B34*Prices!CG34</f>
        <v>11945.818046</v>
      </c>
      <c r="CH34" s="6">
        <f>$B34*Prices!CH34</f>
        <v>11483.426404</v>
      </c>
      <c r="CI34" s="6">
        <f>$B34*Prices!CI34</f>
        <v>11844.589338</v>
      </c>
      <c r="CJ34" s="6">
        <f>$B34*Prices!CJ34</f>
        <v>11082.802542000001</v>
      </c>
      <c r="CK34" s="6">
        <f>$B34*Prices!CK34</f>
        <v>10646.146744</v>
      </c>
      <c r="CL34" s="6">
        <f>$B34*Prices!CL34</f>
        <v>9544.6437800000003</v>
      </c>
      <c r="CM34" s="6">
        <f>$B34*Prices!CM34</f>
        <v>10149.440844000001</v>
      </c>
      <c r="CN34" s="6">
        <f>$B34*Prices!CN34</f>
        <v>9538.6389159999999</v>
      </c>
      <c r="CO34" s="6">
        <f>$B34*Prices!CO34</f>
        <v>8752.8312019999994</v>
      </c>
      <c r="CP34" s="6">
        <f>$B34*Prices!CP34</f>
        <v>8389.9530839999989</v>
      </c>
      <c r="CQ34" s="6">
        <f>$B34*Prices!CQ34</f>
        <v>7892.3896780000005</v>
      </c>
      <c r="CR34" s="6">
        <f>$B34*Prices!CR34</f>
        <v>7391.3946139999998</v>
      </c>
      <c r="CS34" s="6">
        <f>$B34*Prices!CS34</f>
        <v>6916.9924699999992</v>
      </c>
      <c r="CT34" s="6">
        <f>$B34*Prices!CT34</f>
        <v>7647.0391600000003</v>
      </c>
      <c r="CU34" s="6">
        <f>$B34*Prices!CU34</f>
        <v>7375.9526260000002</v>
      </c>
      <c r="CV34" s="6">
        <f>$B34*Prices!CV34</f>
        <v>6932.4344579999997</v>
      </c>
      <c r="CW34" s="6">
        <f>$B34*Prices!CW34</f>
        <v>8012.491258</v>
      </c>
      <c r="CX34" s="6">
        <f>$B34*Prices!CX34</f>
        <v>8306.7396559999997</v>
      </c>
      <c r="CY34" s="6">
        <f>$B34*Prices!CY34</f>
        <v>8673.0998280000003</v>
      </c>
      <c r="CZ34" s="6">
        <f>$B34*Prices!CZ34</f>
        <v>8164.8401720000002</v>
      </c>
      <c r="DA34" s="6">
        <f>$B34*Prices!DA34</f>
        <v>8452.0799139999999</v>
      </c>
      <c r="DB34" s="6">
        <f>$B34*Prices!DB34</f>
        <v>8692.8801719999992</v>
      </c>
      <c r="DC34" s="6"/>
      <c r="DD34" s="6"/>
      <c r="DE34" s="6"/>
      <c r="DF34" s="6"/>
      <c r="DG34" s="6"/>
      <c r="DH34" s="6"/>
      <c r="DI34" s="6"/>
      <c r="DJ34" s="6"/>
    </row>
    <row r="35" spans="1:114">
      <c r="A35" s="3" t="s">
        <v>32</v>
      </c>
      <c r="B35">
        <v>338</v>
      </c>
      <c r="C35" s="6">
        <f>$B35*Prices!C35</f>
        <v>11985.48</v>
      </c>
      <c r="D35" s="6">
        <f>$B35*Prices!D35</f>
        <v>12482.34</v>
      </c>
      <c r="E35" s="6">
        <f>$B35*Prices!E35</f>
        <v>12945.4</v>
      </c>
      <c r="F35" s="6">
        <f>$B35*Prices!F35</f>
        <v>12796.68</v>
      </c>
      <c r="G35" s="6">
        <f>$B35*Prices!G35</f>
        <v>12712.18</v>
      </c>
      <c r="H35" s="6">
        <f>$B35*Prices!H35</f>
        <v>12864.28</v>
      </c>
      <c r="I35" s="6">
        <f>$B35*Prices!I35</f>
        <v>12921.74</v>
      </c>
      <c r="J35" s="6">
        <f>$B35*Prices!J35</f>
        <v>12745.98</v>
      </c>
      <c r="K35" s="6">
        <f>$B35*Prices!K35</f>
        <v>12759.5</v>
      </c>
      <c r="L35" s="6">
        <f>$B35*Prices!L35</f>
        <v>12901.460000000001</v>
      </c>
      <c r="M35" s="6">
        <f>$B35*Prices!M35</f>
        <v>12830.48</v>
      </c>
      <c r="N35" s="6">
        <f>$B35*Prices!N35</f>
        <v>12722.32</v>
      </c>
      <c r="O35" s="6">
        <f>$B35*Prices!O35</f>
        <v>12438.4</v>
      </c>
      <c r="P35" s="6">
        <f>$B35*Prices!P35</f>
        <v>12627.68</v>
      </c>
      <c r="Q35" s="6">
        <f>$B35*Prices!Q35</f>
        <v>12506</v>
      </c>
      <c r="R35" s="6">
        <f>$B35*Prices!R35</f>
        <v>12698.66</v>
      </c>
      <c r="S35" s="6">
        <f>$B35*Prices!S35</f>
        <v>12617.539999999999</v>
      </c>
      <c r="T35" s="6">
        <f>$B35*Prices!T35</f>
        <v>12742.6</v>
      </c>
      <c r="U35" s="6">
        <f>$B35*Prices!U35</f>
        <v>12705.420000000002</v>
      </c>
      <c r="V35" s="6">
        <f>$B35*Prices!V35</f>
        <v>12874.420000000002</v>
      </c>
      <c r="W35" s="6">
        <f>$B35*Prices!W35</f>
        <v>12766.26</v>
      </c>
      <c r="X35" s="6">
        <f>$B35*Prices!X35</f>
        <v>12786.539999999999</v>
      </c>
      <c r="Y35" s="6">
        <f>$B35*Prices!Y35</f>
        <v>12681.76</v>
      </c>
      <c r="Z35" s="6">
        <f>$B35*Prices!Z35</f>
        <v>12877.800000000001</v>
      </c>
      <c r="AA35" s="6">
        <f>$B35*Prices!AA35</f>
        <v>12891.32</v>
      </c>
      <c r="AB35" s="6">
        <f>$B35*Prices!AB35</f>
        <v>12918.359999999999</v>
      </c>
      <c r="AC35" s="6">
        <f>$B35*Prices!AC35</f>
        <v>13019.76</v>
      </c>
      <c r="AD35" s="6">
        <f>$B35*Prices!AD35</f>
        <v>13209.039999999999</v>
      </c>
      <c r="AE35" s="6">
        <f>$B35*Prices!AE35</f>
        <v>13144.82</v>
      </c>
      <c r="AF35" s="6">
        <f>$B35*Prices!AF35</f>
        <v>13178.62</v>
      </c>
      <c r="AG35" s="6">
        <f>$B35*Prices!AG35</f>
        <v>13127.920000000002</v>
      </c>
      <c r="AH35" s="6">
        <f>$B35*Prices!AH35</f>
        <v>13428.74</v>
      </c>
      <c r="AI35" s="6">
        <f>$B35*Prices!AI35</f>
        <v>13766.74</v>
      </c>
      <c r="AJ35" s="6">
        <f>$B35*Prices!AJ35</f>
        <v>13709.28</v>
      </c>
      <c r="AK35" s="6">
        <f>$B35*Prices!AK35</f>
        <v>13472.68</v>
      </c>
      <c r="AL35" s="6">
        <f>$B35*Prices!AL35</f>
        <v>13523.38</v>
      </c>
      <c r="AM35" s="6">
        <f>$B35*Prices!AM35</f>
        <v>13432.12</v>
      </c>
      <c r="AN35" s="6">
        <f>$B35*Prices!AN35</f>
        <v>13499.72</v>
      </c>
      <c r="AO35" s="6">
        <f>$B35*Prices!AO35</f>
        <v>13678.859999999999</v>
      </c>
      <c r="AP35" s="6">
        <f>$B35*Prices!AP35</f>
        <v>13739.699999999999</v>
      </c>
      <c r="AQ35" s="6">
        <f>$B35*Prices!AQ35</f>
        <v>13898.56</v>
      </c>
      <c r="AR35" s="6">
        <f>$B35*Prices!AR35</f>
        <v>13689</v>
      </c>
      <c r="AS35" s="6">
        <f>$B35*Prices!AS35</f>
        <v>13685.62</v>
      </c>
      <c r="AT35" s="6">
        <f>$B35*Prices!AT35</f>
        <v>13597.74</v>
      </c>
      <c r="AU35" s="6">
        <f>$B35*Prices!AU35</f>
        <v>13830.960000000001</v>
      </c>
      <c r="AV35" s="6">
        <f>$B35*Prices!AV35</f>
        <v>13455.78</v>
      </c>
      <c r="AW35" s="6">
        <f>$B35*Prices!AW35</f>
        <v>13300.300000000001</v>
      </c>
      <c r="AX35" s="6">
        <f>$B35*Prices!AX35</f>
        <v>13104.26</v>
      </c>
      <c r="AY35" s="6">
        <f>$B35*Prices!AY35</f>
        <v>12982.579999999998</v>
      </c>
      <c r="AZ35" s="6">
        <f>$B35*Prices!AZ35</f>
        <v>13236.079999999998</v>
      </c>
      <c r="BA35" s="6">
        <f>$B35*Prices!BA35</f>
        <v>13351</v>
      </c>
      <c r="BB35" s="6">
        <f>$B35*Prices!BB35</f>
        <v>13908.699999999999</v>
      </c>
      <c r="BC35" s="6">
        <f>$B35*Prices!BC35</f>
        <v>14158.82</v>
      </c>
      <c r="BD35" s="6">
        <f>$B35*Prices!BD35</f>
        <v>14263.6</v>
      </c>
      <c r="BE35" s="6">
        <f>$B35*Prices!BE35</f>
        <v>14108.12</v>
      </c>
      <c r="BF35" s="6">
        <f>$B35*Prices!BF35</f>
        <v>14010.1</v>
      </c>
      <c r="BG35" s="6">
        <f>$B35*Prices!BG35</f>
        <v>14067.56</v>
      </c>
      <c r="BH35" s="6">
        <f>$B35*Prices!BH35</f>
        <v>13817.44</v>
      </c>
      <c r="BI35" s="6">
        <f>$B35*Prices!BI35</f>
        <v>13861.38</v>
      </c>
      <c r="BJ35" s="6">
        <f>$B35*Prices!BJ35</f>
        <v>14317.68</v>
      </c>
      <c r="BK35" s="6">
        <f>$B35*Prices!BK35</f>
        <v>14165.579999999998</v>
      </c>
      <c r="BL35" s="6">
        <f>$B35*Prices!BL35</f>
        <v>14037.140000000001</v>
      </c>
      <c r="BM35" s="6">
        <f>$B35*Prices!BM35</f>
        <v>13709.28</v>
      </c>
      <c r="BN35" s="6">
        <f>$B35*Prices!BN35</f>
        <v>13590.98</v>
      </c>
      <c r="BO35" s="6">
        <f>$B35*Prices!BO35</f>
        <v>13952.640000000001</v>
      </c>
      <c r="BP35" s="6">
        <f>$B35*Prices!BP35</f>
        <v>14027</v>
      </c>
      <c r="BQ35" s="6">
        <f>$B35*Prices!BQ35</f>
        <v>15206.62</v>
      </c>
      <c r="BR35" s="6">
        <f>$B35*Prices!BR35</f>
        <v>15534.48</v>
      </c>
      <c r="BS35" s="6">
        <f>$B35*Prices!BS35</f>
        <v>14730.039999999999</v>
      </c>
      <c r="BT35" s="6">
        <f>$B35*Prices!BT35</f>
        <v>14824.68</v>
      </c>
      <c r="BU35" s="6">
        <f>$B35*Prices!BU35</f>
        <v>14828.06</v>
      </c>
      <c r="BV35" s="6">
        <f>$B35*Prices!BV35</f>
        <v>14679.34</v>
      </c>
      <c r="BW35" s="6">
        <f>$B35*Prices!BW35</f>
        <v>14354.859999999999</v>
      </c>
      <c r="BX35" s="6">
        <f>$B35*Prices!BX35</f>
        <v>14246.699999999999</v>
      </c>
      <c r="BY35" s="6">
        <f>$B35*Prices!BY35</f>
        <v>14327.82</v>
      </c>
      <c r="BZ35" s="6">
        <f>$B35*Prices!BZ35</f>
        <v>14368.38</v>
      </c>
      <c r="CA35" s="6">
        <f>$B35*Prices!CA35</f>
        <v>14331.200676</v>
      </c>
      <c r="CB35" s="6">
        <f>$B35*Prices!CB35</f>
        <v>13776.879324000001</v>
      </c>
      <c r="CC35" s="6">
        <f>$B35*Prices!CC35</f>
        <v>13388.180337999998</v>
      </c>
      <c r="CD35" s="6">
        <f>$B35*Prices!CD35</f>
        <v>13131.299324</v>
      </c>
      <c r="CE35" s="6">
        <f>$B35*Prices!CE35</f>
        <v>12725.700676</v>
      </c>
      <c r="CF35" s="6">
        <f>$B35*Prices!CF35</f>
        <v>12627.680337999998</v>
      </c>
      <c r="CG35" s="6">
        <f>$B35*Prices!CG35</f>
        <v>13225.940338</v>
      </c>
      <c r="CH35" s="6">
        <f>$B35*Prices!CH35</f>
        <v>13002.860338</v>
      </c>
      <c r="CI35" s="6">
        <f>$B35*Prices!CI35</f>
        <v>13269.879324000001</v>
      </c>
      <c r="CJ35" s="6">
        <f>$B35*Prices!CJ35</f>
        <v>13127.920000000002</v>
      </c>
      <c r="CK35" s="6">
        <f>$B35*Prices!CK35</f>
        <v>12867.66</v>
      </c>
      <c r="CL35" s="6">
        <f>$B35*Prices!CL35</f>
        <v>11674.520337999998</v>
      </c>
      <c r="CM35" s="6">
        <f>$B35*Prices!CM35</f>
        <v>12631.059662</v>
      </c>
      <c r="CN35" s="6">
        <f>$B35*Prices!CN35</f>
        <v>12137.579999999998</v>
      </c>
      <c r="CO35" s="6">
        <f>$B35*Prices!CO35</f>
        <v>11228.360338</v>
      </c>
      <c r="CP35" s="6">
        <f>$B35*Prices!CP35</f>
        <v>11542.700676</v>
      </c>
      <c r="CQ35" s="6">
        <f>$B35*Prices!CQ35</f>
        <v>10234.640337999999</v>
      </c>
      <c r="CR35" s="6">
        <f>$B35*Prices!CR35</f>
        <v>9977.76</v>
      </c>
      <c r="CS35" s="6">
        <f>$B35*Prices!CS35</f>
        <v>10140</v>
      </c>
      <c r="CT35" s="6">
        <f>$B35*Prices!CT35</f>
        <v>10582.779662000001</v>
      </c>
      <c r="CU35" s="6">
        <f>$B35*Prices!CU35</f>
        <v>10200.84</v>
      </c>
      <c r="CV35" s="6">
        <f>$B35*Prices!CV35</f>
        <v>9971</v>
      </c>
      <c r="CW35" s="6">
        <f>$B35*Prices!CW35</f>
        <v>10934.299324</v>
      </c>
      <c r="CX35" s="6">
        <f>$B35*Prices!CX35</f>
        <v>10390.119999999999</v>
      </c>
      <c r="CY35" s="6">
        <f>$B35*Prices!CY35</f>
        <v>11880.700676</v>
      </c>
      <c r="CZ35" s="6">
        <f>$B35*Prices!CZ35</f>
        <v>12303.200676</v>
      </c>
      <c r="DA35" s="6">
        <f>$B35*Prices!DA35</f>
        <v>12560.079999999998</v>
      </c>
      <c r="DB35" s="6">
        <f>$B35*Prices!DB35</f>
        <v>12397.84</v>
      </c>
      <c r="DC35" s="6"/>
      <c r="DD35" s="6"/>
      <c r="DE35" s="6"/>
      <c r="DF35" s="6"/>
      <c r="DG35" s="6"/>
      <c r="DH35" s="6"/>
      <c r="DI35" s="6"/>
      <c r="DJ35" s="6"/>
    </row>
    <row r="36" spans="1:114">
      <c r="A36" s="3" t="s">
        <v>33</v>
      </c>
      <c r="B36">
        <v>140</v>
      </c>
      <c r="C36" s="6">
        <f>$B36*Prices!C36</f>
        <v>17908.8</v>
      </c>
      <c r="D36" s="6">
        <f>$B36*Prices!D36</f>
        <v>17547.600000000002</v>
      </c>
      <c r="E36" s="6">
        <f>$B36*Prices!E36</f>
        <v>17466.400000000001</v>
      </c>
      <c r="F36" s="6">
        <f>$B36*Prices!F36</f>
        <v>16835</v>
      </c>
      <c r="G36" s="6">
        <f>$B36*Prices!G36</f>
        <v>17005.8</v>
      </c>
      <c r="H36" s="6">
        <f>$B36*Prices!H36</f>
        <v>16944.2</v>
      </c>
      <c r="I36" s="6">
        <f>$B36*Prices!I36</f>
        <v>16500.400000000001</v>
      </c>
      <c r="J36" s="6">
        <f>$B36*Prices!J36</f>
        <v>16384.2</v>
      </c>
      <c r="K36" s="6">
        <f>$B36*Prices!K36</f>
        <v>16408</v>
      </c>
      <c r="L36" s="6">
        <f>$B36*Prices!L36</f>
        <v>16303</v>
      </c>
      <c r="M36" s="6">
        <f>$B36*Prices!M36</f>
        <v>16275</v>
      </c>
      <c r="N36" s="6">
        <f>$B36*Prices!N36</f>
        <v>16508.8</v>
      </c>
      <c r="O36" s="6">
        <f>$B36*Prices!O36</f>
        <v>16632</v>
      </c>
      <c r="P36" s="6">
        <f>$B36*Prices!P36</f>
        <v>16846.2</v>
      </c>
      <c r="Q36" s="6">
        <f>$B36*Prices!Q36</f>
        <v>16738.400000000001</v>
      </c>
      <c r="R36" s="6">
        <f>$B36*Prices!R36</f>
        <v>16830.8</v>
      </c>
      <c r="S36" s="6">
        <f>$B36*Prices!S36</f>
        <v>16773.400000000001</v>
      </c>
      <c r="T36" s="6">
        <f>$B36*Prices!T36</f>
        <v>16885.400000000001</v>
      </c>
      <c r="U36" s="6">
        <f>$B36*Prices!U36</f>
        <v>17064.599999999999</v>
      </c>
      <c r="V36" s="6">
        <f>$B36*Prices!V36</f>
        <v>17028.2</v>
      </c>
      <c r="W36" s="6">
        <f>$B36*Prices!W36</f>
        <v>16872.8</v>
      </c>
      <c r="X36" s="6">
        <f>$B36*Prices!X36</f>
        <v>16787.399999999998</v>
      </c>
      <c r="Y36" s="6">
        <f>$B36*Prices!Y36</f>
        <v>16874.2</v>
      </c>
      <c r="Z36" s="6">
        <f>$B36*Prices!Z36</f>
        <v>16763.599999999999</v>
      </c>
      <c r="AA36" s="6">
        <f>$B36*Prices!AA36</f>
        <v>16815.400000000001</v>
      </c>
      <c r="AB36" s="6">
        <f>$B36*Prices!AB36</f>
        <v>17040.8</v>
      </c>
      <c r="AC36" s="6">
        <f>$B36*Prices!AC36</f>
        <v>16972.2</v>
      </c>
      <c r="AD36" s="6">
        <f>$B36*Prices!AD36</f>
        <v>17189.2</v>
      </c>
      <c r="AE36" s="6">
        <f>$B36*Prices!AE36</f>
        <v>17298.400000000001</v>
      </c>
      <c r="AF36" s="6">
        <f>$B36*Prices!AF36</f>
        <v>17406.2</v>
      </c>
      <c r="AG36" s="6">
        <f>$B36*Prices!AG36</f>
        <v>17423</v>
      </c>
      <c r="AH36" s="6">
        <f>$B36*Prices!AH36</f>
        <v>17704.399999999998</v>
      </c>
      <c r="AI36" s="6">
        <f>$B36*Prices!AI36</f>
        <v>17794</v>
      </c>
      <c r="AJ36" s="6">
        <f>$B36*Prices!AJ36</f>
        <v>17778.599999999999</v>
      </c>
      <c r="AK36" s="6">
        <f>$B36*Prices!AK36</f>
        <v>18023.600000000002</v>
      </c>
      <c r="AL36" s="6">
        <f>$B36*Prices!AL36</f>
        <v>18575.2</v>
      </c>
      <c r="AM36" s="6">
        <f>$B36*Prices!AM36</f>
        <v>18531.8</v>
      </c>
      <c r="AN36" s="6">
        <f>$B36*Prices!AN36</f>
        <v>18608.8</v>
      </c>
      <c r="AO36" s="6">
        <f>$B36*Prices!AO36</f>
        <v>18624.2</v>
      </c>
      <c r="AP36" s="6">
        <f>$B36*Prices!AP36</f>
        <v>18655</v>
      </c>
      <c r="AQ36" s="6">
        <f>$B36*Prices!AQ36</f>
        <v>18509.400000000001</v>
      </c>
      <c r="AR36" s="6">
        <f>$B36*Prices!AR36</f>
        <v>18529</v>
      </c>
      <c r="AS36" s="6">
        <f>$B36*Prices!AS36</f>
        <v>18779.599999999999</v>
      </c>
      <c r="AT36" s="6">
        <f>$B36*Prices!AT36</f>
        <v>18782.399999999998</v>
      </c>
      <c r="AU36" s="6">
        <f>$B36*Prices!AU36</f>
        <v>18638.2</v>
      </c>
      <c r="AV36" s="6">
        <f>$B36*Prices!AV36</f>
        <v>18701.2</v>
      </c>
      <c r="AW36" s="6">
        <f>$B36*Prices!AW36</f>
        <v>18660.599999999999</v>
      </c>
      <c r="AX36" s="6">
        <f>$B36*Prices!AX36</f>
        <v>18908.400000000001</v>
      </c>
      <c r="AY36" s="6">
        <f>$B36*Prices!AY36</f>
        <v>18979.8</v>
      </c>
      <c r="AZ36" s="6">
        <f>$B36*Prices!AZ36</f>
        <v>19111.399999999998</v>
      </c>
      <c r="BA36" s="6">
        <f>$B36*Prices!BA36</f>
        <v>19217.800000000003</v>
      </c>
      <c r="BB36" s="6">
        <f>$B36*Prices!BB36</f>
        <v>19395.599999999999</v>
      </c>
      <c r="BC36" s="6">
        <f>$B36*Prices!BC36</f>
        <v>19493.600000000002</v>
      </c>
      <c r="BD36" s="6">
        <f>$B36*Prices!BD36</f>
        <v>19622.399999999998</v>
      </c>
      <c r="BE36" s="6">
        <f>$B36*Prices!BE36</f>
        <v>19870.2</v>
      </c>
      <c r="BF36" s="6">
        <f>$B36*Prices!BF36</f>
        <v>19810</v>
      </c>
      <c r="BG36" s="6">
        <f>$B36*Prices!BG36</f>
        <v>19367.600000000002</v>
      </c>
      <c r="BH36" s="6">
        <f>$B36*Prices!BH36</f>
        <v>19083.400000000001</v>
      </c>
      <c r="BI36" s="6">
        <f>$B36*Prices!BI36</f>
        <v>19034.400000000001</v>
      </c>
      <c r="BJ36" s="6">
        <f>$B36*Prices!BJ36</f>
        <v>19356.399999999998</v>
      </c>
      <c r="BK36" s="6">
        <f>$B36*Prices!BK36</f>
        <v>19391.399999999998</v>
      </c>
      <c r="BL36" s="6">
        <f>$B36*Prices!BL36</f>
        <v>19324.2</v>
      </c>
      <c r="BM36" s="6">
        <f>$B36*Prices!BM36</f>
        <v>18789.400000000001</v>
      </c>
      <c r="BN36" s="6">
        <f>$B36*Prices!BN36</f>
        <v>18972.800000000003</v>
      </c>
      <c r="BO36" s="6">
        <f>$B36*Prices!BO36</f>
        <v>19455.8</v>
      </c>
      <c r="BP36" s="6">
        <f>$B36*Prices!BP36</f>
        <v>19304.599999999999</v>
      </c>
      <c r="BQ36" s="6">
        <f>$B36*Prices!BQ36</f>
        <v>19455.8</v>
      </c>
      <c r="BR36" s="6">
        <f>$B36*Prices!BR36</f>
        <v>19446</v>
      </c>
      <c r="BS36" s="6">
        <f>$B36*Prices!BS36</f>
        <v>19957</v>
      </c>
      <c r="BT36" s="6">
        <f>$B36*Prices!BT36</f>
        <v>20164.2</v>
      </c>
      <c r="BU36" s="6">
        <f>$B36*Prices!BU36</f>
        <v>20017.199999999997</v>
      </c>
      <c r="BV36" s="6">
        <f>$B36*Prices!BV36</f>
        <v>20291.599999999999</v>
      </c>
      <c r="BW36" s="6">
        <f>$B36*Prices!BW36</f>
        <v>20183.8</v>
      </c>
      <c r="BX36" s="6">
        <f>$B36*Prices!BX36</f>
        <v>20111</v>
      </c>
      <c r="BY36" s="6">
        <f>$B36*Prices!BY36</f>
        <v>20168.400000000001</v>
      </c>
      <c r="BZ36" s="6">
        <f>$B36*Prices!BZ36</f>
        <v>20097</v>
      </c>
      <c r="CA36" s="6">
        <f>$B36*Prices!CA36</f>
        <v>19912.19944</v>
      </c>
      <c r="CB36" s="6">
        <f>$B36*Prices!CB36</f>
        <v>19374.599859999998</v>
      </c>
      <c r="CC36" s="6">
        <f>$B36*Prices!CC36</f>
        <v>18874.80098</v>
      </c>
      <c r="CD36" s="6">
        <f>$B36*Prices!CD36</f>
        <v>19060.999159999999</v>
      </c>
      <c r="CE36" s="6">
        <f>$B36*Prices!CE36</f>
        <v>18752.99958</v>
      </c>
      <c r="CF36" s="6">
        <f>$B36*Prices!CF36</f>
        <v>18652.19944</v>
      </c>
      <c r="CG36" s="6">
        <f>$B36*Prices!CG36</f>
        <v>19447.400559999998</v>
      </c>
      <c r="CH36" s="6">
        <f>$B36*Prices!CH36</f>
        <v>19213.600699999999</v>
      </c>
      <c r="CI36" s="6">
        <f>$B36*Prices!CI36</f>
        <v>20106.799299999999</v>
      </c>
      <c r="CJ36" s="6">
        <f>$B36*Prices!CJ36</f>
        <v>19538.399720000001</v>
      </c>
      <c r="CK36" s="6">
        <f>$B36*Prices!CK36</f>
        <v>19187.00042</v>
      </c>
      <c r="CL36" s="6">
        <f>$B36*Prices!CL36</f>
        <v>18160.800139999999</v>
      </c>
      <c r="CM36" s="6">
        <f>$B36*Prices!CM36</f>
        <v>18580.800139999999</v>
      </c>
      <c r="CN36" s="6">
        <f>$B36*Prices!CN36</f>
        <v>18237.80056</v>
      </c>
      <c r="CO36" s="6">
        <f>$B36*Prices!CO36</f>
        <v>16839.199860000001</v>
      </c>
      <c r="CP36" s="6">
        <f>$B36*Prices!CP36</f>
        <v>17567.200420000001</v>
      </c>
      <c r="CQ36" s="6">
        <f>$B36*Prices!CQ36</f>
        <v>14985.60014</v>
      </c>
      <c r="CR36" s="6">
        <f>$B36*Prices!CR36</f>
        <v>15547.00042</v>
      </c>
      <c r="CS36" s="6">
        <f>$B36*Prices!CS36</f>
        <v>14814.8</v>
      </c>
      <c r="CT36" s="6">
        <f>$B36*Prices!CT36</f>
        <v>14326.200279999999</v>
      </c>
      <c r="CU36" s="6">
        <f>$B36*Prices!CU36</f>
        <v>14131.600280000001</v>
      </c>
      <c r="CV36" s="6">
        <f>$B36*Prices!CV36</f>
        <v>12972.40056</v>
      </c>
      <c r="CW36" s="6">
        <f>$B36*Prices!CW36</f>
        <v>14526.40028</v>
      </c>
      <c r="CX36" s="6">
        <f>$B36*Prices!CX36</f>
        <v>15149.39986</v>
      </c>
      <c r="CY36" s="6">
        <f>$B36*Prices!CY36</f>
        <v>16507.400560000002</v>
      </c>
      <c r="CZ36" s="6">
        <f>$B36*Prices!CZ36</f>
        <v>15647.799580000001</v>
      </c>
      <c r="DA36" s="6">
        <f>$B36*Prices!DA36</f>
        <v>16335.2</v>
      </c>
      <c r="DB36" s="6">
        <f>$B36*Prices!DB36</f>
        <v>16476.600280000002</v>
      </c>
      <c r="DC36" s="6"/>
      <c r="DD36" s="6"/>
      <c r="DE36" s="6"/>
      <c r="DF36" s="6"/>
      <c r="DG36" s="6"/>
      <c r="DH36" s="6"/>
      <c r="DI36" s="6"/>
      <c r="DJ36" s="6"/>
    </row>
    <row r="37" spans="1:114">
      <c r="A37" s="3" t="s">
        <v>34</v>
      </c>
      <c r="B37">
        <v>162</v>
      </c>
      <c r="C37" s="6">
        <f>$B37*Prices!C37</f>
        <v>11928.06</v>
      </c>
      <c r="D37" s="6">
        <f>$B37*Prices!D37</f>
        <v>12150</v>
      </c>
      <c r="E37" s="6">
        <f>$B37*Prices!E37</f>
        <v>12171.06</v>
      </c>
      <c r="F37" s="6">
        <f>$B37*Prices!F37</f>
        <v>12214.800000000001</v>
      </c>
      <c r="G37" s="6">
        <f>$B37*Prices!G37</f>
        <v>11532.779999999999</v>
      </c>
      <c r="H37" s="6">
        <f>$B37*Prices!H37</f>
        <v>11409.660000000002</v>
      </c>
      <c r="I37" s="6">
        <f>$B37*Prices!I37</f>
        <v>11365.11</v>
      </c>
      <c r="J37" s="6">
        <f>$B37*Prices!J37</f>
        <v>11352.96</v>
      </c>
      <c r="K37" s="6">
        <f>$B37*Prices!K37</f>
        <v>11480.94</v>
      </c>
      <c r="L37" s="6">
        <f>$B37*Prices!L37</f>
        <v>11448.54</v>
      </c>
      <c r="M37" s="6">
        <f>$B37*Prices!M37</f>
        <v>11686.68</v>
      </c>
      <c r="N37" s="6">
        <f>$B37*Prices!N37</f>
        <v>11777.4</v>
      </c>
      <c r="O37" s="6">
        <f>$B37*Prices!O37</f>
        <v>11539.26</v>
      </c>
      <c r="P37" s="6">
        <f>$B37*Prices!P37</f>
        <v>11743.38</v>
      </c>
      <c r="Q37" s="6">
        <f>$B37*Prices!Q37</f>
        <v>12046.32</v>
      </c>
      <c r="R37" s="6">
        <f>$B37*Prices!R37</f>
        <v>12107.88</v>
      </c>
      <c r="S37" s="6">
        <f>$B37*Prices!S37</f>
        <v>12137.04</v>
      </c>
      <c r="T37" s="6">
        <f>$B37*Prices!T37</f>
        <v>12354.12</v>
      </c>
      <c r="U37" s="6">
        <f>$B37*Prices!U37</f>
        <v>12412.44</v>
      </c>
      <c r="V37" s="6">
        <f>$B37*Prices!V37</f>
        <v>12678.12</v>
      </c>
      <c r="W37" s="6">
        <f>$B37*Prices!W37</f>
        <v>12420.54</v>
      </c>
      <c r="X37" s="6">
        <f>$B37*Prices!X37</f>
        <v>12401.1</v>
      </c>
      <c r="Y37" s="6">
        <f>$B37*Prices!Y37</f>
        <v>12402.720000000001</v>
      </c>
      <c r="Z37" s="6">
        <f>$B37*Prices!Z37</f>
        <v>12511.26</v>
      </c>
      <c r="AA37" s="6">
        <f>$B37*Prices!AA37</f>
        <v>12514.5</v>
      </c>
      <c r="AB37" s="6">
        <f>$B37*Prices!AB37</f>
        <v>12977.82</v>
      </c>
      <c r="AC37" s="6">
        <f>$B37*Prices!AC37</f>
        <v>12974.58</v>
      </c>
      <c r="AD37" s="6">
        <f>$B37*Prices!AD37</f>
        <v>12833.64</v>
      </c>
      <c r="AE37" s="6">
        <f>$B37*Prices!AE37</f>
        <v>12843.36</v>
      </c>
      <c r="AF37" s="6">
        <f>$B37*Prices!AF37</f>
        <v>13162.5</v>
      </c>
      <c r="AG37" s="6">
        <f>$B37*Prices!AG37</f>
        <v>12872.519999999999</v>
      </c>
      <c r="AH37" s="6">
        <f>$B37*Prices!AH37</f>
        <v>12885.480000000001</v>
      </c>
      <c r="AI37" s="6">
        <f>$B37*Prices!AI37</f>
        <v>13015.08</v>
      </c>
      <c r="AJ37" s="6">
        <f>$B37*Prices!AJ37</f>
        <v>13060.44</v>
      </c>
      <c r="AK37" s="6">
        <f>$B37*Prices!AK37</f>
        <v>13510.800000000001</v>
      </c>
      <c r="AL37" s="6">
        <f>$B37*Prices!AL37</f>
        <v>13676.04</v>
      </c>
      <c r="AM37" s="6">
        <f>$B37*Prices!AM37</f>
        <v>13671.18</v>
      </c>
      <c r="AN37" s="6">
        <f>$B37*Prices!AN37</f>
        <v>13711.68</v>
      </c>
      <c r="AO37" s="6">
        <f>$B37*Prices!AO37</f>
        <v>13591.800000000001</v>
      </c>
      <c r="AP37" s="6">
        <f>$B37*Prices!AP37</f>
        <v>13552.92</v>
      </c>
      <c r="AQ37" s="6">
        <f>$B37*Prices!AQ37</f>
        <v>13486.5</v>
      </c>
      <c r="AR37" s="6">
        <f>$B37*Prices!AR37</f>
        <v>13617.720000000001</v>
      </c>
      <c r="AS37" s="6">
        <f>$B37*Prices!AS37</f>
        <v>13441.14</v>
      </c>
      <c r="AT37" s="6">
        <f>$B37*Prices!AT37</f>
        <v>13369.86</v>
      </c>
      <c r="AU37" s="6">
        <f>$B37*Prices!AU37</f>
        <v>13484.88</v>
      </c>
      <c r="AV37" s="6">
        <f>$B37*Prices!AV37</f>
        <v>13467.06</v>
      </c>
      <c r="AW37" s="6">
        <f>$B37*Prices!AW37</f>
        <v>13548.06</v>
      </c>
      <c r="AX37" s="6">
        <f>$B37*Prices!AX37</f>
        <v>13648.5</v>
      </c>
      <c r="AY37" s="6">
        <f>$B37*Prices!AY37</f>
        <v>13588.56</v>
      </c>
      <c r="AZ37" s="6">
        <f>$B37*Prices!AZ37</f>
        <v>13838.04</v>
      </c>
      <c r="BA37" s="6">
        <f>$B37*Prices!BA37</f>
        <v>13975.74</v>
      </c>
      <c r="BB37" s="6">
        <f>$B37*Prices!BB37</f>
        <v>14439.06</v>
      </c>
      <c r="BC37" s="6">
        <f>$B37*Prices!BC37</f>
        <v>14748.480000000001</v>
      </c>
      <c r="BD37" s="6">
        <f>$B37*Prices!BD37</f>
        <v>14733.9</v>
      </c>
      <c r="BE37" s="6">
        <f>$B37*Prices!BE37</f>
        <v>14754.96</v>
      </c>
      <c r="BF37" s="6">
        <f>$B37*Prices!BF37</f>
        <v>14863.5</v>
      </c>
      <c r="BG37" s="6">
        <f>$B37*Prices!BG37</f>
        <v>14769.54</v>
      </c>
      <c r="BH37" s="6">
        <f>$B37*Prices!BH37</f>
        <v>14267.339999999998</v>
      </c>
      <c r="BI37" s="6">
        <f>$B37*Prices!BI37</f>
        <v>14204.160000000002</v>
      </c>
      <c r="BJ37" s="6">
        <f>$B37*Prices!BJ37</f>
        <v>14324.04</v>
      </c>
      <c r="BK37" s="6">
        <f>$B37*Prices!BK37</f>
        <v>14341.86</v>
      </c>
      <c r="BL37" s="6">
        <f>$B37*Prices!BL37</f>
        <v>14247.9</v>
      </c>
      <c r="BM37" s="6">
        <f>$B37*Prices!BM37</f>
        <v>13859.1</v>
      </c>
      <c r="BN37" s="6">
        <f>$B37*Prices!BN37</f>
        <v>14184.720000000001</v>
      </c>
      <c r="BO37" s="6">
        <f>$B37*Prices!BO37</f>
        <v>15019.019999999999</v>
      </c>
      <c r="BP37" s="6">
        <f>$B37*Prices!BP37</f>
        <v>15471</v>
      </c>
      <c r="BQ37" s="6">
        <f>$B37*Prices!BQ37</f>
        <v>15386.76</v>
      </c>
      <c r="BR37" s="6">
        <f>$B37*Prices!BR37</f>
        <v>15093.54</v>
      </c>
      <c r="BS37" s="6">
        <f>$B37*Prices!BS37</f>
        <v>15218.279999999999</v>
      </c>
      <c r="BT37" s="6">
        <f>$B37*Prices!BT37</f>
        <v>15697.800000000001</v>
      </c>
      <c r="BU37" s="6">
        <f>$B37*Prices!BU37</f>
        <v>15701.04</v>
      </c>
      <c r="BV37" s="6">
        <f>$B37*Prices!BV37</f>
        <v>15840.36</v>
      </c>
      <c r="BW37" s="6">
        <f>$B37*Prices!BW37</f>
        <v>15853.32</v>
      </c>
      <c r="BX37" s="6">
        <f>$B37*Prices!BX37</f>
        <v>15903.54</v>
      </c>
      <c r="BY37" s="6">
        <f>$B37*Prices!BY37</f>
        <v>16248.6</v>
      </c>
      <c r="BZ37" s="6">
        <f>$B37*Prices!BZ37</f>
        <v>16187.04</v>
      </c>
      <c r="CA37" s="6">
        <f>$B37*Prices!CA37</f>
        <v>16131.960324</v>
      </c>
      <c r="CB37" s="6">
        <f>$B37*Prices!CB37</f>
        <v>16041.239514000001</v>
      </c>
      <c r="CC37" s="6">
        <f>$B37*Prices!CC37</f>
        <v>16515.899514000001</v>
      </c>
      <c r="CD37" s="6">
        <f>$B37*Prices!CD37</f>
        <v>16277.760485999999</v>
      </c>
      <c r="CE37" s="6">
        <f>$B37*Prices!CE37</f>
        <v>15411.059514</v>
      </c>
      <c r="CF37" s="6">
        <f>$B37*Prices!CF37</f>
        <v>14570.280324000001</v>
      </c>
      <c r="CG37" s="6">
        <f>$B37*Prices!CG37</f>
        <v>15364.079352000001</v>
      </c>
      <c r="CH37" s="6">
        <f>$B37*Prices!CH37</f>
        <v>14753.339999999998</v>
      </c>
      <c r="CI37" s="6">
        <f>$B37*Prices!CI37</f>
        <v>16221.059514</v>
      </c>
      <c r="CJ37" s="6">
        <f>$B37*Prices!CJ37</f>
        <v>15602.219675999999</v>
      </c>
      <c r="CK37" s="6">
        <f>$B37*Prices!CK37</f>
        <v>15932.699676</v>
      </c>
      <c r="CL37" s="6">
        <f>$B37*Prices!CL37</f>
        <v>14672.339999999998</v>
      </c>
      <c r="CM37" s="6">
        <f>$B37*Prices!CM37</f>
        <v>15062.760485999999</v>
      </c>
      <c r="CN37" s="6">
        <f>$B37*Prices!CN37</f>
        <v>13549.679838</v>
      </c>
      <c r="CO37" s="6">
        <f>$B37*Prices!CO37</f>
        <v>11706.120324</v>
      </c>
      <c r="CP37" s="6">
        <f>$B37*Prices!CP37</f>
        <v>12569.579352000001</v>
      </c>
      <c r="CQ37" s="6">
        <f>$B37*Prices!CQ37</f>
        <v>11435.579352000001</v>
      </c>
      <c r="CR37" s="6">
        <f>$B37*Prices!CR37</f>
        <v>11780.640162</v>
      </c>
      <c r="CS37" s="6">
        <f>$B37*Prices!CS37</f>
        <v>9997.0198380000002</v>
      </c>
      <c r="CT37" s="6">
        <f>$B37*Prices!CT37</f>
        <v>10521.899513999999</v>
      </c>
      <c r="CU37" s="6">
        <f>$B37*Prices!CU37</f>
        <v>11200.679838</v>
      </c>
      <c r="CV37" s="6">
        <f>$B37*Prices!CV37</f>
        <v>10014.84</v>
      </c>
      <c r="CW37" s="6">
        <f>$B37*Prices!CW37</f>
        <v>11108.339999999998</v>
      </c>
      <c r="CX37" s="6">
        <f>$B37*Prices!CX37</f>
        <v>11011.140162</v>
      </c>
      <c r="CY37" s="6">
        <f>$B37*Prices!CY37</f>
        <v>11900.519838</v>
      </c>
      <c r="CZ37" s="6">
        <f>$B37*Prices!CZ37</f>
        <v>10831.320162</v>
      </c>
      <c r="DA37" s="6">
        <f>$B37*Prices!DA37</f>
        <v>12161.339999999998</v>
      </c>
      <c r="DB37" s="6">
        <f>$B37*Prices!DB37</f>
        <v>11887.559514</v>
      </c>
      <c r="DC37" s="6"/>
      <c r="DD37" s="6"/>
      <c r="DE37" s="6"/>
      <c r="DF37" s="6"/>
      <c r="DG37" s="6"/>
      <c r="DH37" s="6"/>
      <c r="DI37" s="6"/>
      <c r="DJ37" s="6"/>
    </row>
    <row r="38" spans="1:114">
      <c r="A38" s="3" t="s">
        <v>35</v>
      </c>
      <c r="B38">
        <v>96</v>
      </c>
      <c r="C38" s="6">
        <f>$B38*Prices!C38</f>
        <v>24259.199999999997</v>
      </c>
      <c r="D38" s="6">
        <f>$B38*Prices!D38</f>
        <v>24212.16</v>
      </c>
      <c r="E38" s="6">
        <f>$B38*Prices!E38</f>
        <v>24120</v>
      </c>
      <c r="F38" s="6">
        <f>$B38*Prices!F38</f>
        <v>24028.800000000003</v>
      </c>
      <c r="G38" s="6">
        <f>$B38*Prices!G38</f>
        <v>24049.920000000002</v>
      </c>
      <c r="H38" s="6">
        <f>$B38*Prices!H38</f>
        <v>24620.159999999996</v>
      </c>
      <c r="I38" s="6">
        <f>$B38*Prices!I38</f>
        <v>24669.120000000003</v>
      </c>
      <c r="J38" s="6">
        <f>$B38*Prices!J38</f>
        <v>24392.639999999999</v>
      </c>
      <c r="K38" s="6">
        <f>$B38*Prices!K38</f>
        <v>24504</v>
      </c>
      <c r="L38" s="6">
        <f>$B38*Prices!L38</f>
        <v>24342.720000000001</v>
      </c>
      <c r="M38" s="6">
        <f>$B38*Prices!M38</f>
        <v>24559.68</v>
      </c>
      <c r="N38" s="6">
        <f>$B38*Prices!N38</f>
        <v>25862.399999999998</v>
      </c>
      <c r="O38" s="6">
        <f>$B38*Prices!O38</f>
        <v>26201.279999999999</v>
      </c>
      <c r="P38" s="6">
        <f>$B38*Prices!P38</f>
        <v>26326.080000000002</v>
      </c>
      <c r="Q38" s="6">
        <f>$B38*Prices!Q38</f>
        <v>26453.760000000002</v>
      </c>
      <c r="R38" s="6">
        <f>$B38*Prices!R38</f>
        <v>26548.800000000003</v>
      </c>
      <c r="S38" s="6">
        <f>$B38*Prices!S38</f>
        <v>26576.639999999999</v>
      </c>
      <c r="T38" s="6">
        <f>$B38*Prices!T38</f>
        <v>27136.32</v>
      </c>
      <c r="U38" s="6">
        <f>$B38*Prices!U38</f>
        <v>27014.399999999998</v>
      </c>
      <c r="V38" s="6">
        <f>$B38*Prices!V38</f>
        <v>26944.32</v>
      </c>
      <c r="W38" s="6">
        <f>$B38*Prices!W38</f>
        <v>26867.52</v>
      </c>
      <c r="X38" s="6">
        <f>$B38*Prices!X38</f>
        <v>26847.360000000001</v>
      </c>
      <c r="Y38" s="6">
        <f>$B38*Prices!Y38</f>
        <v>26582.399999999998</v>
      </c>
      <c r="Z38" s="6">
        <f>$B38*Prices!Z38</f>
        <v>26814.720000000001</v>
      </c>
      <c r="AA38" s="6">
        <f>$B38*Prices!AA38</f>
        <v>27072</v>
      </c>
      <c r="AB38" s="6">
        <f>$B38*Prices!AB38</f>
        <v>26898.239999999998</v>
      </c>
      <c r="AC38" s="6">
        <f>$B38*Prices!AC38</f>
        <v>26643.840000000004</v>
      </c>
      <c r="AD38" s="6">
        <f>$B38*Prices!AD38</f>
        <v>26833.919999999998</v>
      </c>
      <c r="AE38" s="6">
        <f>$B38*Prices!AE38</f>
        <v>26928</v>
      </c>
      <c r="AF38" s="6">
        <f>$B38*Prices!AF38</f>
        <v>27226.560000000001</v>
      </c>
      <c r="AG38" s="6">
        <f>$B38*Prices!AG38</f>
        <v>27406.080000000002</v>
      </c>
      <c r="AH38" s="6">
        <f>$B38*Prices!AH38</f>
        <v>28034.879999999997</v>
      </c>
      <c r="AI38" s="6">
        <f>$B38*Prices!AI38</f>
        <v>27885.120000000003</v>
      </c>
      <c r="AJ38" s="6">
        <f>$B38*Prices!AJ38</f>
        <v>28118.399999999998</v>
      </c>
      <c r="AK38" s="6">
        <f>$B38*Prices!AK38</f>
        <v>28283.52</v>
      </c>
      <c r="AL38" s="6">
        <f>$B38*Prices!AL38</f>
        <v>28088.639999999999</v>
      </c>
      <c r="AM38" s="6">
        <f>$B38*Prices!AM38</f>
        <v>28328.639999999999</v>
      </c>
      <c r="AN38" s="6">
        <f>$B38*Prices!AN38</f>
        <v>28275.840000000004</v>
      </c>
      <c r="AO38" s="6">
        <f>$B38*Prices!AO38</f>
        <v>28382.399999999998</v>
      </c>
      <c r="AP38" s="6">
        <f>$B38*Prices!AP38</f>
        <v>28413.120000000003</v>
      </c>
      <c r="AQ38" s="6">
        <f>$B38*Prices!AQ38</f>
        <v>28209.600000000002</v>
      </c>
      <c r="AR38" s="6">
        <f>$B38*Prices!AR38</f>
        <v>28222.080000000002</v>
      </c>
      <c r="AS38" s="6">
        <f>$B38*Prices!AS38</f>
        <v>28080</v>
      </c>
      <c r="AT38" s="6">
        <f>$B38*Prices!AT38</f>
        <v>27795.840000000004</v>
      </c>
      <c r="AU38" s="6">
        <f>$B38*Prices!AU38</f>
        <v>27988.800000000003</v>
      </c>
      <c r="AV38" s="6">
        <f>$B38*Prices!AV38</f>
        <v>27819.840000000004</v>
      </c>
      <c r="AW38" s="6">
        <f>$B38*Prices!AW38</f>
        <v>28406.399999999998</v>
      </c>
      <c r="AX38" s="6">
        <f>$B38*Prices!AX38</f>
        <v>28245.120000000003</v>
      </c>
      <c r="AY38" s="6">
        <f>$B38*Prices!AY38</f>
        <v>28332.48</v>
      </c>
      <c r="AZ38" s="6">
        <f>$B38*Prices!AZ38</f>
        <v>27441.600000000002</v>
      </c>
      <c r="BA38" s="6">
        <f>$B38*Prices!BA38</f>
        <v>27671.040000000001</v>
      </c>
      <c r="BB38" s="6">
        <f>$B38*Prices!BB38</f>
        <v>28455.360000000001</v>
      </c>
      <c r="BC38" s="6">
        <f>$B38*Prices!BC38</f>
        <v>28871.040000000001</v>
      </c>
      <c r="BD38" s="6">
        <f>$B38*Prices!BD38</f>
        <v>28653.120000000003</v>
      </c>
      <c r="BE38" s="6">
        <f>$B38*Prices!BE38</f>
        <v>28850.879999999997</v>
      </c>
      <c r="BF38" s="6">
        <f>$B38*Prices!BF38</f>
        <v>28856.639999999999</v>
      </c>
      <c r="BG38" s="6">
        <f>$B38*Prices!BG38</f>
        <v>28748.159999999996</v>
      </c>
      <c r="BH38" s="6">
        <f>$B38*Prices!BH38</f>
        <v>28109.760000000002</v>
      </c>
      <c r="BI38" s="6">
        <f>$B38*Prices!BI38</f>
        <v>27272.639999999999</v>
      </c>
      <c r="BJ38" s="6">
        <f>$B38*Prices!BJ38</f>
        <v>27443.52</v>
      </c>
      <c r="BK38" s="6">
        <f>$B38*Prices!BK38</f>
        <v>27158.399999999998</v>
      </c>
      <c r="BL38" s="6">
        <f>$B38*Prices!BL38</f>
        <v>26974.080000000002</v>
      </c>
      <c r="BM38" s="6">
        <f>$B38*Prices!BM38</f>
        <v>26155.199999999997</v>
      </c>
      <c r="BN38" s="6">
        <f>$B38*Prices!BN38</f>
        <v>26305.919999999998</v>
      </c>
      <c r="BO38" s="6">
        <f>$B38*Prices!BO38</f>
        <v>26960.639999999999</v>
      </c>
      <c r="BP38" s="6">
        <f>$B38*Prices!BP38</f>
        <v>28390.080000000002</v>
      </c>
      <c r="BQ38" s="6">
        <f>$B38*Prices!BQ38</f>
        <v>28076.159999999996</v>
      </c>
      <c r="BR38" s="6">
        <f>$B38*Prices!BR38</f>
        <v>27765.120000000003</v>
      </c>
      <c r="BS38" s="6">
        <f>$B38*Prices!BS38</f>
        <v>27554.879999999997</v>
      </c>
      <c r="BT38" s="6">
        <f>$B38*Prices!BT38</f>
        <v>27915.840000000004</v>
      </c>
      <c r="BU38" s="6">
        <f>$B38*Prices!BU38</f>
        <v>29134.080000000002</v>
      </c>
      <c r="BV38" s="6">
        <f>$B38*Prices!BV38</f>
        <v>29011.199999999997</v>
      </c>
      <c r="BW38" s="6">
        <f>$B38*Prices!BW38</f>
        <v>28682.879999999997</v>
      </c>
      <c r="BX38" s="6">
        <f>$B38*Prices!BX38</f>
        <v>29005.439999999999</v>
      </c>
      <c r="BY38" s="6">
        <f>$B38*Prices!BY38</f>
        <v>29309.760000000002</v>
      </c>
      <c r="BZ38" s="6">
        <f>$B38*Prices!BZ38</f>
        <v>29004.48</v>
      </c>
      <c r="CA38" s="6">
        <f>$B38*Prices!CA38</f>
        <v>28812.474624000002</v>
      </c>
      <c r="CB38" s="6">
        <f>$B38*Prices!CB38</f>
        <v>26552.824224000004</v>
      </c>
      <c r="CC38" s="6">
        <f>$B38*Prices!CC38</f>
        <v>25176.386687999999</v>
      </c>
      <c r="CD38" s="6">
        <f>$B38*Prices!CD38</f>
        <v>25139.106432</v>
      </c>
      <c r="CE38" s="6">
        <f>$B38*Prices!CE38</f>
        <v>24271.186560000002</v>
      </c>
      <c r="CF38" s="6">
        <f>$B38*Prices!CF38</f>
        <v>24370.596672</v>
      </c>
      <c r="CG38" s="6">
        <f>$B38*Prices!CG38</f>
        <v>26105.478528</v>
      </c>
      <c r="CH38" s="6">
        <f>$B38*Prices!CH38</f>
        <v>24986.167968000002</v>
      </c>
      <c r="CI38" s="6">
        <f>$B38*Prices!CI38</f>
        <v>27664.488288</v>
      </c>
      <c r="CJ38" s="6">
        <f>$B38*Prices!CJ38</f>
        <v>27047.001024000001</v>
      </c>
      <c r="CK38" s="6">
        <f>$B38*Prices!CK38</f>
        <v>27133.986336000002</v>
      </c>
      <c r="CL38" s="6">
        <f>$B38*Prices!CL38</f>
        <v>26137.025375999998</v>
      </c>
      <c r="CM38" s="6">
        <f>$B38*Prices!CM38</f>
        <v>26764.069344000003</v>
      </c>
      <c r="CN38" s="6">
        <f>$B38*Prices!CN38</f>
        <v>26551.866239999996</v>
      </c>
      <c r="CO38" s="6">
        <f>$B38*Prices!CO38</f>
        <v>23935.680192</v>
      </c>
      <c r="CP38" s="6">
        <f>$B38*Prices!CP38</f>
        <v>26115.840863999998</v>
      </c>
      <c r="CQ38" s="6">
        <f>$B38*Prices!CQ38</f>
        <v>21603.839328000002</v>
      </c>
      <c r="CR38" s="6">
        <f>$B38*Prices!CR38</f>
        <v>23445.120095999999</v>
      </c>
      <c r="CS38" s="6">
        <f>$B38*Prices!CS38</f>
        <v>20837.759808000003</v>
      </c>
      <c r="CT38" s="6">
        <f>$B38*Prices!CT38</f>
        <v>21100.800287999999</v>
      </c>
      <c r="CU38" s="6">
        <f>$B38*Prices!CU38</f>
        <v>19832.639616</v>
      </c>
      <c r="CV38" s="6">
        <f>$B38*Prices!CV38</f>
        <v>18706.560096000001</v>
      </c>
      <c r="CW38" s="6">
        <f>$B38*Prices!CW38</f>
        <v>21100.800287999999</v>
      </c>
      <c r="CX38" s="6">
        <f>$B38*Prices!CX38</f>
        <v>22511.04048</v>
      </c>
      <c r="CY38" s="6">
        <f>$B38*Prices!CY38</f>
        <v>24517.439903999999</v>
      </c>
      <c r="CZ38" s="6">
        <f>$B38*Prices!CZ38</f>
        <v>23275.199712000001</v>
      </c>
      <c r="DA38" s="6">
        <f>$B38*Prices!DA38</f>
        <v>24122.879904000001</v>
      </c>
      <c r="DB38" s="6">
        <f>$B38*Prices!DB38</f>
        <v>23940.480480000002</v>
      </c>
      <c r="DC38" s="6"/>
      <c r="DD38" s="6"/>
      <c r="DE38" s="6"/>
      <c r="DF38" s="6"/>
      <c r="DG38" s="6"/>
      <c r="DH38" s="6"/>
      <c r="DI38" s="6"/>
      <c r="DJ38" s="6"/>
    </row>
    <row r="39" spans="1:114">
      <c r="A39" s="3" t="s">
        <v>36</v>
      </c>
      <c r="B39">
        <v>287</v>
      </c>
      <c r="C39" s="6">
        <f>$B39*Prices!C39</f>
        <v>23996.07</v>
      </c>
      <c r="D39" s="6">
        <f>$B39*Prices!D39</f>
        <v>23723.42</v>
      </c>
      <c r="E39" s="6">
        <f>$B39*Prices!E39</f>
        <v>23597.14</v>
      </c>
      <c r="F39" s="6">
        <f>$B39*Prices!F39</f>
        <v>23631.58</v>
      </c>
      <c r="G39" s="6">
        <f>$B39*Prices!G39</f>
        <v>23855.440000000002</v>
      </c>
      <c r="H39" s="6">
        <f>$B39*Prices!H39</f>
        <v>23932.93</v>
      </c>
      <c r="I39" s="6">
        <f>$B39*Prices!I39</f>
        <v>24033.379999999997</v>
      </c>
      <c r="J39" s="6">
        <f>$B39*Prices!J39</f>
        <v>24039.120000000003</v>
      </c>
      <c r="K39" s="6">
        <f>$B39*Prices!K39</f>
        <v>24205.58</v>
      </c>
      <c r="L39" s="6">
        <f>$B39*Prices!L39</f>
        <v>24171.14</v>
      </c>
      <c r="M39" s="6">
        <f>$B39*Prices!M39</f>
        <v>24142.440000000002</v>
      </c>
      <c r="N39" s="6">
        <f>$B39*Prices!N39</f>
        <v>24598.769999999997</v>
      </c>
      <c r="O39" s="6">
        <f>$B39*Prices!O39</f>
        <v>24182.620000000003</v>
      </c>
      <c r="P39" s="6">
        <f>$B39*Prices!P39</f>
        <v>24191.230000000003</v>
      </c>
      <c r="Q39" s="6">
        <f>$B39*Prices!Q39</f>
        <v>24076.43</v>
      </c>
      <c r="R39" s="6">
        <f>$B39*Prices!R39</f>
        <v>24016.160000000003</v>
      </c>
      <c r="S39" s="6">
        <f>$B39*Prices!S39</f>
        <v>24033.379999999997</v>
      </c>
      <c r="T39" s="6">
        <f>$B39*Prices!T39</f>
        <v>24248.629999999997</v>
      </c>
      <c r="U39" s="6">
        <f>$B39*Prices!U39</f>
        <v>24515.54</v>
      </c>
      <c r="V39" s="6">
        <f>$B39*Prices!V39</f>
        <v>24515.54</v>
      </c>
      <c r="W39" s="6">
        <f>$B39*Prices!W39</f>
        <v>24524.15</v>
      </c>
      <c r="X39" s="6">
        <f>$B39*Prices!X39</f>
        <v>24254.370000000003</v>
      </c>
      <c r="Y39" s="6">
        <f>$B39*Prices!Y39</f>
        <v>24211.32</v>
      </c>
      <c r="Z39" s="6">
        <f>$B39*Prices!Z39</f>
        <v>24446.660000000003</v>
      </c>
      <c r="AA39" s="6">
        <f>$B39*Prices!AA39</f>
        <v>24463.879999999997</v>
      </c>
      <c r="AB39" s="6">
        <f>$B39*Prices!AB39</f>
        <v>24532.760000000002</v>
      </c>
      <c r="AC39" s="6">
        <f>$B39*Prices!AC39</f>
        <v>24070.690000000002</v>
      </c>
      <c r="AD39" s="6">
        <f>$B39*Prices!AD39</f>
        <v>24268.720000000001</v>
      </c>
      <c r="AE39" s="6">
        <f>$B39*Prices!AE39</f>
        <v>24369.17</v>
      </c>
      <c r="AF39" s="6">
        <f>$B39*Prices!AF39</f>
        <v>24673.39</v>
      </c>
      <c r="AG39" s="6">
        <f>$B39*Prices!AG39</f>
        <v>24782.449999999997</v>
      </c>
      <c r="AH39" s="6">
        <f>$B39*Prices!AH39</f>
        <v>24796.800000000003</v>
      </c>
      <c r="AI39" s="6">
        <f>$B39*Prices!AI39</f>
        <v>24986.22</v>
      </c>
      <c r="AJ39" s="6">
        <f>$B39*Prices!AJ39</f>
        <v>24948.910000000003</v>
      </c>
      <c r="AK39" s="6">
        <f>$B39*Prices!AK39</f>
        <v>25069.449999999997</v>
      </c>
      <c r="AL39" s="6">
        <f>$B39*Prices!AL39</f>
        <v>24871.42</v>
      </c>
      <c r="AM39" s="6">
        <f>$B39*Prices!AM39</f>
        <v>25069.449999999997</v>
      </c>
      <c r="AN39" s="6">
        <f>$B39*Prices!AN39</f>
        <v>25049.360000000001</v>
      </c>
      <c r="AO39" s="6">
        <f>$B39*Prices!AO39</f>
        <v>25049.360000000001</v>
      </c>
      <c r="AP39" s="6">
        <f>$B39*Prices!AP39</f>
        <v>25083.800000000003</v>
      </c>
      <c r="AQ39" s="6">
        <f>$B39*Prices!AQ39</f>
        <v>24911.599999999999</v>
      </c>
      <c r="AR39" s="6">
        <f>$B39*Prices!AR39</f>
        <v>24928.82</v>
      </c>
      <c r="AS39" s="6">
        <f>$B39*Prices!AS39</f>
        <v>24954.65</v>
      </c>
      <c r="AT39" s="6">
        <f>$B39*Prices!AT39</f>
        <v>24650.43</v>
      </c>
      <c r="AU39" s="6">
        <f>$B39*Prices!AU39</f>
        <v>24779.58</v>
      </c>
      <c r="AV39" s="6">
        <f>$B39*Prices!AV39</f>
        <v>24641.82</v>
      </c>
      <c r="AW39" s="6">
        <f>$B39*Prices!AW39</f>
        <v>24742.269999999997</v>
      </c>
      <c r="AX39" s="6">
        <f>$B39*Prices!AX39</f>
        <v>24808.28</v>
      </c>
      <c r="AY39" s="6">
        <f>$B39*Prices!AY39</f>
        <v>24498.32</v>
      </c>
      <c r="AZ39" s="6">
        <f>$B39*Prices!AZ39</f>
        <v>24429.440000000002</v>
      </c>
      <c r="BA39" s="6">
        <f>$B39*Prices!BA39</f>
        <v>24607.379999999997</v>
      </c>
      <c r="BB39" s="6">
        <f>$B39*Prices!BB39</f>
        <v>25078.059999999998</v>
      </c>
      <c r="BC39" s="6">
        <f>$B39*Prices!BC39</f>
        <v>25336.36</v>
      </c>
      <c r="BD39" s="6">
        <f>$B39*Prices!BD39</f>
        <v>25543</v>
      </c>
      <c r="BE39" s="6">
        <f>$B39*Prices!BE39</f>
        <v>25752.510000000002</v>
      </c>
      <c r="BF39" s="6">
        <f>$B39*Prices!BF39</f>
        <v>26363.82</v>
      </c>
      <c r="BG39" s="6">
        <f>$B39*Prices!BG39</f>
        <v>26039.510000000002</v>
      </c>
      <c r="BH39" s="6">
        <f>$B39*Prices!BH39</f>
        <v>25944.800000000003</v>
      </c>
      <c r="BI39" s="6">
        <f>$B39*Prices!BI39</f>
        <v>25712.33</v>
      </c>
      <c r="BJ39" s="6">
        <f>$B39*Prices!BJ39</f>
        <v>25697.980000000003</v>
      </c>
      <c r="BK39" s="6">
        <f>$B39*Prices!BK39</f>
        <v>25583.18</v>
      </c>
      <c r="BL39" s="6">
        <f>$B39*Prices!BL39</f>
        <v>25588.92</v>
      </c>
      <c r="BM39" s="6">
        <f>$B39*Prices!BM39</f>
        <v>25009.18</v>
      </c>
      <c r="BN39" s="6">
        <f>$B39*Prices!BN39</f>
        <v>24986.22</v>
      </c>
      <c r="BO39" s="6">
        <f>$B39*Prices!BO39</f>
        <v>25322.010000000002</v>
      </c>
      <c r="BP39" s="6">
        <f>$B39*Prices!BP39</f>
        <v>25703.72</v>
      </c>
      <c r="BQ39" s="6">
        <f>$B39*Prices!BQ39</f>
        <v>25677.89</v>
      </c>
      <c r="BR39" s="6">
        <f>$B39*Prices!BR39</f>
        <v>25218.690000000002</v>
      </c>
      <c r="BS39" s="6">
        <f>$B39*Prices!BS39</f>
        <v>25342.1</v>
      </c>
      <c r="BT39" s="6">
        <f>$B39*Prices!BT39</f>
        <v>25591.79</v>
      </c>
      <c r="BU39" s="6">
        <f>$B39*Prices!BU39</f>
        <v>25482.730000000003</v>
      </c>
      <c r="BV39" s="6">
        <f>$B39*Prices!BV39</f>
        <v>25451.160000000003</v>
      </c>
      <c r="BW39" s="6">
        <f>$B39*Prices!BW39</f>
        <v>25732.42</v>
      </c>
      <c r="BX39" s="6">
        <f>$B39*Prices!BX39</f>
        <v>25508.559999999998</v>
      </c>
      <c r="BY39" s="6">
        <f>$B39*Prices!BY39</f>
        <v>25646.32</v>
      </c>
      <c r="BZ39" s="6">
        <f>$B39*Prices!BZ39</f>
        <v>25388.019999999997</v>
      </c>
      <c r="CA39" s="6">
        <f>$B39*Prices!CA39</f>
        <v>25098.149138999997</v>
      </c>
      <c r="CB39" s="6">
        <f>$B39*Prices!CB39</f>
        <v>24288.809139000001</v>
      </c>
      <c r="CC39" s="6">
        <f>$B39*Prices!CC39</f>
        <v>23284.309139000001</v>
      </c>
      <c r="CD39" s="6">
        <f>$B39*Prices!CD39</f>
        <v>23350.320286999999</v>
      </c>
      <c r="CE39" s="6">
        <f>$B39*Prices!CE39</f>
        <v>22727.530574</v>
      </c>
      <c r="CF39" s="6">
        <f>$B39*Prices!CF39</f>
        <v>22107.609713000002</v>
      </c>
      <c r="CG39" s="6">
        <f>$B39*Prices!CG39</f>
        <v>23422.070286999999</v>
      </c>
      <c r="CH39" s="6">
        <f>$B39*Prices!CH39</f>
        <v>22383.129426</v>
      </c>
      <c r="CI39" s="6">
        <f>$B39*Prices!CI39</f>
        <v>23559.828851999999</v>
      </c>
      <c r="CJ39" s="6">
        <f>$B39*Prices!CJ39</f>
        <v>23109.239139000001</v>
      </c>
      <c r="CK39" s="6">
        <f>$B39*Prices!CK39</f>
        <v>23459.379426</v>
      </c>
      <c r="CL39" s="6">
        <f>$B39*Prices!CL39</f>
        <v>22104.739139000001</v>
      </c>
      <c r="CM39" s="6">
        <f>$B39*Prices!CM39</f>
        <v>23212.559139000001</v>
      </c>
      <c r="CN39" s="6">
        <f>$B39*Prices!CN39</f>
        <v>22411.828851999999</v>
      </c>
      <c r="CO39" s="6">
        <f>$B39*Prices!CO39</f>
        <v>21450.379426</v>
      </c>
      <c r="CP39" s="6">
        <f>$B39*Prices!CP39</f>
        <v>23433.550574000001</v>
      </c>
      <c r="CQ39" s="6">
        <f>$B39*Prices!CQ39</f>
        <v>21140.421148000001</v>
      </c>
      <c r="CR39" s="6">
        <f>$B39*Prices!CR39</f>
        <v>22813.629426</v>
      </c>
      <c r="CS39" s="6">
        <f>$B39*Prices!CS39</f>
        <v>22747.620574</v>
      </c>
      <c r="CT39" s="6">
        <f>$B39*Prices!CT39</f>
        <v>21381.5</v>
      </c>
      <c r="CU39" s="6">
        <f>$B39*Prices!CU39</f>
        <v>19516</v>
      </c>
      <c r="CV39" s="6">
        <f>$B39*Prices!CV39</f>
        <v>18029.34</v>
      </c>
      <c r="CW39" s="6">
        <f>$B39*Prices!CW39</f>
        <v>20001.030574</v>
      </c>
      <c r="CX39" s="6">
        <f>$B39*Prices!CX39</f>
        <v>20305.25</v>
      </c>
      <c r="CY39" s="6">
        <f>$B39*Prices!CY39</f>
        <v>21757.469426</v>
      </c>
      <c r="CZ39" s="6">
        <f>$B39*Prices!CZ39</f>
        <v>21398.719426</v>
      </c>
      <c r="DA39" s="6">
        <f>$B39*Prices!DA39</f>
        <v>22770.578851999999</v>
      </c>
      <c r="DB39" s="6">
        <f>$B39*Prices!DB39</f>
        <v>22647.171148000001</v>
      </c>
      <c r="DC39" s="6"/>
      <c r="DD39" s="6"/>
      <c r="DE39" s="6"/>
      <c r="DF39" s="6"/>
      <c r="DG39" s="6"/>
      <c r="DH39" s="6"/>
      <c r="DI39" s="6"/>
      <c r="DJ39" s="6"/>
    </row>
    <row r="40" spans="1:114">
      <c r="A40" s="3" t="s">
        <v>37</v>
      </c>
      <c r="B40">
        <v>208</v>
      </c>
      <c r="C40" s="6">
        <f>$B40*Prices!C40</f>
        <v>18025.28</v>
      </c>
      <c r="D40" s="6">
        <f>$B40*Prices!D40</f>
        <v>17667.52</v>
      </c>
      <c r="E40" s="6">
        <f>$B40*Prices!E40</f>
        <v>17451.2</v>
      </c>
      <c r="F40" s="6">
        <f>$B40*Prices!F40</f>
        <v>17247.36</v>
      </c>
      <c r="G40" s="6">
        <f>$B40*Prices!G40</f>
        <v>17316</v>
      </c>
      <c r="H40" s="6">
        <f>$B40*Prices!H40</f>
        <v>17239.04</v>
      </c>
      <c r="I40" s="6">
        <f>$B40*Prices!I40</f>
        <v>17386.72</v>
      </c>
      <c r="J40" s="6">
        <f>$B40*Prices!J40</f>
        <v>17322.240000000002</v>
      </c>
      <c r="K40" s="6">
        <f>$B40*Prices!K40</f>
        <v>17496.96</v>
      </c>
      <c r="L40" s="6">
        <f>$B40*Prices!L40</f>
        <v>17642.559999999998</v>
      </c>
      <c r="M40" s="6">
        <f>$B40*Prices!M40</f>
        <v>17586.399999999998</v>
      </c>
      <c r="N40" s="6">
        <f>$B40*Prices!N40</f>
        <v>17659.2</v>
      </c>
      <c r="O40" s="6">
        <f>$B40*Prices!O40</f>
        <v>17499.04</v>
      </c>
      <c r="P40" s="6">
        <f>$B40*Prices!P40</f>
        <v>17607.2</v>
      </c>
      <c r="Q40" s="6">
        <f>$B40*Prices!Q40</f>
        <v>17736.16</v>
      </c>
      <c r="R40" s="6">
        <f>$B40*Prices!R40</f>
        <v>17775.68</v>
      </c>
      <c r="S40" s="6">
        <f>$B40*Prices!S40</f>
        <v>17773.600000000002</v>
      </c>
      <c r="T40" s="6">
        <f>$B40*Prices!T40</f>
        <v>17825.600000000002</v>
      </c>
      <c r="U40" s="6">
        <f>$B40*Prices!U40</f>
        <v>18166.72</v>
      </c>
      <c r="V40" s="6">
        <f>$B40*Prices!V40</f>
        <v>18222.88</v>
      </c>
      <c r="W40" s="6">
        <f>$B40*Prices!W40</f>
        <v>18133.440000000002</v>
      </c>
      <c r="X40" s="6">
        <f>$B40*Prices!X40</f>
        <v>18104.32</v>
      </c>
      <c r="Y40" s="6">
        <f>$B40*Prices!Y40</f>
        <v>18175.04</v>
      </c>
      <c r="Z40" s="6">
        <f>$B40*Prices!Z40</f>
        <v>18443.36</v>
      </c>
      <c r="AA40" s="6">
        <f>$B40*Prices!AA40</f>
        <v>18460</v>
      </c>
      <c r="AB40" s="6">
        <f>$B40*Prices!AB40</f>
        <v>18480.8</v>
      </c>
      <c r="AC40" s="6">
        <f>$B40*Prices!AC40</f>
        <v>18453.759999999998</v>
      </c>
      <c r="AD40" s="6">
        <f>$B40*Prices!AD40</f>
        <v>18532.8</v>
      </c>
      <c r="AE40" s="6">
        <f>$B40*Prices!AE40</f>
        <v>18507.84</v>
      </c>
      <c r="AF40" s="6">
        <f>$B40*Prices!AF40</f>
        <v>18630.559999999998</v>
      </c>
      <c r="AG40" s="6">
        <f>$B40*Prices!AG40</f>
        <v>18551.52</v>
      </c>
      <c r="AH40" s="6">
        <f>$B40*Prices!AH40</f>
        <v>18572.32</v>
      </c>
      <c r="AI40" s="6">
        <f>$B40*Prices!AI40</f>
        <v>18516.16</v>
      </c>
      <c r="AJ40" s="6">
        <f>$B40*Prices!AJ40</f>
        <v>18640.96</v>
      </c>
      <c r="AK40" s="6">
        <f>$B40*Prices!AK40</f>
        <v>18717.919999999998</v>
      </c>
      <c r="AL40" s="6">
        <f>$B40*Prices!AL40</f>
        <v>19048.64</v>
      </c>
      <c r="AM40" s="6">
        <f>$B40*Prices!AM40</f>
        <v>19081.919999999998</v>
      </c>
      <c r="AN40" s="6">
        <f>$B40*Prices!AN40</f>
        <v>19019.52</v>
      </c>
      <c r="AO40" s="6">
        <f>$B40*Prices!AO40</f>
        <v>18998.72</v>
      </c>
      <c r="AP40" s="6">
        <f>$B40*Prices!AP40</f>
        <v>19032</v>
      </c>
      <c r="AQ40" s="6">
        <f>$B40*Prices!AQ40</f>
        <v>18934.240000000002</v>
      </c>
      <c r="AR40" s="6">
        <f>$B40*Prices!AR40</f>
        <v>18917.600000000002</v>
      </c>
      <c r="AS40" s="6">
        <f>$B40*Prices!AS40</f>
        <v>19144.32</v>
      </c>
      <c r="AT40" s="6">
        <f>$B40*Prices!AT40</f>
        <v>18980</v>
      </c>
      <c r="AU40" s="6">
        <f>$B40*Prices!AU40</f>
        <v>19061.12</v>
      </c>
      <c r="AV40" s="6">
        <f>$B40*Prices!AV40</f>
        <v>18553.600000000002</v>
      </c>
      <c r="AW40" s="6">
        <f>$B40*Prices!AW40</f>
        <v>18428.8</v>
      </c>
      <c r="AX40" s="6">
        <f>$B40*Prices!AX40</f>
        <v>18591.04</v>
      </c>
      <c r="AY40" s="6">
        <f>$B40*Prices!AY40</f>
        <v>18622.240000000002</v>
      </c>
      <c r="AZ40" s="6">
        <f>$B40*Prices!AZ40</f>
        <v>18618.080000000002</v>
      </c>
      <c r="BA40" s="6">
        <f>$B40*Prices!BA40</f>
        <v>18705.440000000002</v>
      </c>
      <c r="BB40" s="6">
        <f>$B40*Prices!BB40</f>
        <v>19040.32</v>
      </c>
      <c r="BC40" s="6">
        <f>$B40*Prices!BC40</f>
        <v>18965.440000000002</v>
      </c>
      <c r="BD40" s="6">
        <f>$B40*Prices!BD40</f>
        <v>18921.759999999998</v>
      </c>
      <c r="BE40" s="6">
        <f>$B40*Prices!BE40</f>
        <v>18713.759999999998</v>
      </c>
      <c r="BF40" s="6">
        <f>$B40*Prices!BF40</f>
        <v>18647.2</v>
      </c>
      <c r="BG40" s="6">
        <f>$B40*Prices!BG40</f>
        <v>18420.48</v>
      </c>
      <c r="BH40" s="6">
        <f>$B40*Prices!BH40</f>
        <v>17883.84</v>
      </c>
      <c r="BI40" s="6">
        <f>$B40*Prices!BI40</f>
        <v>17908.8</v>
      </c>
      <c r="BJ40" s="6">
        <f>$B40*Prices!BJ40</f>
        <v>17940</v>
      </c>
      <c r="BK40" s="6">
        <f>$B40*Prices!BK40</f>
        <v>18145.919999999998</v>
      </c>
      <c r="BL40" s="6">
        <f>$B40*Prices!BL40</f>
        <v>17992</v>
      </c>
      <c r="BM40" s="6">
        <f>$B40*Prices!BM40</f>
        <v>17771.52</v>
      </c>
      <c r="BN40" s="6">
        <f>$B40*Prices!BN40</f>
        <v>18166.72</v>
      </c>
      <c r="BO40" s="6">
        <f>$B40*Prices!BO40</f>
        <v>18378.88</v>
      </c>
      <c r="BP40" s="6">
        <f>$B40*Prices!BP40</f>
        <v>17852.64</v>
      </c>
      <c r="BQ40" s="6">
        <f>$B40*Prices!BQ40</f>
        <v>17821.440000000002</v>
      </c>
      <c r="BR40" s="6">
        <f>$B40*Prices!BR40</f>
        <v>17696.64</v>
      </c>
      <c r="BS40" s="6">
        <f>$B40*Prices!BS40</f>
        <v>17817.28</v>
      </c>
      <c r="BT40" s="6">
        <f>$B40*Prices!BT40</f>
        <v>17732</v>
      </c>
      <c r="BU40" s="6">
        <f>$B40*Prices!BU40</f>
        <v>17316</v>
      </c>
      <c r="BV40" s="6">
        <f>$B40*Prices!BV40</f>
        <v>17049.759999999998</v>
      </c>
      <c r="BW40" s="6">
        <f>$B40*Prices!BW40</f>
        <v>17191.2</v>
      </c>
      <c r="BX40" s="6">
        <f>$B40*Prices!BX40</f>
        <v>17151.68</v>
      </c>
      <c r="BY40" s="6">
        <f>$B40*Prices!BY40</f>
        <v>17056</v>
      </c>
      <c r="BZ40" s="6">
        <f>$B40*Prices!BZ40</f>
        <v>17157.919999999998</v>
      </c>
      <c r="CA40" s="6">
        <f>$B40*Prices!CA40</f>
        <v>16986.393216</v>
      </c>
      <c r="CB40" s="6">
        <f>$B40*Prices!CB40</f>
        <v>16778.034624</v>
      </c>
      <c r="CC40" s="6">
        <f>$B40*Prices!CC40</f>
        <v>16559.360896000002</v>
      </c>
      <c r="CD40" s="6">
        <f>$B40*Prices!CD40</f>
        <v>16491.283952000002</v>
      </c>
      <c r="CE40" s="6">
        <f>$B40*Prices!CE40</f>
        <v>16107.574496000001</v>
      </c>
      <c r="CF40" s="6">
        <f>$B40*Prices!CF40</f>
        <v>15794.003472</v>
      </c>
      <c r="CG40" s="6">
        <f>$B40*Prices!CG40</f>
        <v>16786.286400000001</v>
      </c>
      <c r="CH40" s="6">
        <f>$B40*Prices!CH40</f>
        <v>16324.183408000001</v>
      </c>
      <c r="CI40" s="6">
        <f>$B40*Prices!CI40</f>
        <v>17116.359936000001</v>
      </c>
      <c r="CJ40" s="6">
        <f>$B40*Prices!CJ40</f>
        <v>16829.609263999999</v>
      </c>
      <c r="CK40" s="6">
        <f>$B40*Prices!CK40</f>
        <v>16957.511376000002</v>
      </c>
      <c r="CL40" s="6">
        <f>$B40*Prices!CL40</f>
        <v>16289.114192000001</v>
      </c>
      <c r="CM40" s="6">
        <f>$B40*Prices!CM40</f>
        <v>16920.377552000002</v>
      </c>
      <c r="CN40" s="6">
        <f>$B40*Prices!CN40</f>
        <v>16348.939359999998</v>
      </c>
      <c r="CO40" s="6">
        <f>$B40*Prices!CO40</f>
        <v>15358.719168</v>
      </c>
      <c r="CP40" s="6">
        <f>$B40*Prices!CP40</f>
        <v>15964</v>
      </c>
      <c r="CQ40" s="6">
        <f>$B40*Prices!CQ40</f>
        <v>14543.359584000002</v>
      </c>
      <c r="CR40" s="6">
        <f>$B40*Prices!CR40</f>
        <v>15491.840623999999</v>
      </c>
      <c r="CS40" s="6">
        <f>$B40*Prices!CS40</f>
        <v>14899.039376000001</v>
      </c>
      <c r="CT40" s="6">
        <f>$B40*Prices!CT40</f>
        <v>14711.840623999999</v>
      </c>
      <c r="CU40" s="6">
        <f>$B40*Prices!CU40</f>
        <v>14842.880207999999</v>
      </c>
      <c r="CV40" s="6">
        <f>$B40*Prices!CV40</f>
        <v>13811.200416</v>
      </c>
      <c r="CW40" s="6">
        <f>$B40*Prices!CW40</f>
        <v>14362.400624000002</v>
      </c>
      <c r="CX40" s="6">
        <f>$B40*Prices!CX40</f>
        <v>14189.760208</v>
      </c>
      <c r="CY40" s="6">
        <f>$B40*Prices!CY40</f>
        <v>15294.239792</v>
      </c>
      <c r="CZ40" s="6">
        <f>$B40*Prices!CZ40</f>
        <v>14919.840623999999</v>
      </c>
      <c r="DA40" s="6">
        <f>$B40*Prices!DA40</f>
        <v>16005.599375999998</v>
      </c>
      <c r="DB40" s="6">
        <f>$B40*Prices!DB40</f>
        <v>16003.520416000001</v>
      </c>
      <c r="DC40" s="6"/>
      <c r="DD40" s="6"/>
      <c r="DE40" s="6"/>
      <c r="DF40" s="6"/>
      <c r="DG40" s="6"/>
      <c r="DH40" s="6"/>
      <c r="DI40" s="6"/>
      <c r="DJ40" s="6"/>
    </row>
    <row r="41" spans="1:114">
      <c r="A41" s="2" t="s">
        <v>38</v>
      </c>
      <c r="C41" s="6">
        <f>SUM(C42:C46)</f>
        <v>59987.770000000004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>
        <f>SUM(BM42:BM46)</f>
        <v>63182.78</v>
      </c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>
        <f>SUM(BZ42:BZ46)</f>
        <v>63361.649999999994</v>
      </c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</row>
    <row r="42" spans="1:114">
      <c r="A42" s="3" t="s">
        <v>39</v>
      </c>
      <c r="B42">
        <v>313</v>
      </c>
      <c r="C42" s="6">
        <f>$B42*Prices!C42</f>
        <v>18069.489999999998</v>
      </c>
      <c r="D42" s="6">
        <f>$B42*Prices!D42</f>
        <v>18379.36</v>
      </c>
      <c r="E42" s="6">
        <f>$B42*Prices!E42</f>
        <v>18714.27</v>
      </c>
      <c r="F42" s="6">
        <f>$B42*Prices!F42</f>
        <v>18770.61</v>
      </c>
      <c r="G42" s="6">
        <f>$B42*Prices!G42</f>
        <v>18742.440000000002</v>
      </c>
      <c r="H42" s="6">
        <f>$B42*Prices!H42</f>
        <v>19590.670000000002</v>
      </c>
      <c r="I42" s="6">
        <f>$B42*Prices!I42</f>
        <v>19637.62</v>
      </c>
      <c r="J42" s="6">
        <f>$B42*Prices!J42</f>
        <v>19470.165000000001</v>
      </c>
      <c r="K42" s="6">
        <f>$B42*Prices!K42</f>
        <v>19700.219999999998</v>
      </c>
      <c r="L42" s="6">
        <f>$B42*Prices!L42</f>
        <v>19775.34</v>
      </c>
      <c r="M42" s="6">
        <f>$B42*Prices!M42</f>
        <v>19809.77</v>
      </c>
      <c r="N42" s="6">
        <f>$B42*Prices!N42</f>
        <v>19878.63</v>
      </c>
      <c r="O42" s="6">
        <f>$B42*Prices!O42</f>
        <v>19803.510000000002</v>
      </c>
      <c r="P42" s="6">
        <f>$B42*Prices!P42</f>
        <v>19828.55</v>
      </c>
      <c r="Q42" s="6">
        <f>$B42*Prices!Q42</f>
        <v>19834.809999999998</v>
      </c>
      <c r="R42" s="6">
        <f>$B42*Prices!R42</f>
        <v>19891.149999999998</v>
      </c>
      <c r="S42" s="6">
        <f>$B42*Prices!S42</f>
        <v>19794.12</v>
      </c>
      <c r="T42" s="6">
        <f>$B42*Prices!T42</f>
        <v>20064.865000000002</v>
      </c>
      <c r="U42" s="6">
        <f>$B42*Prices!U42</f>
        <v>20273.009999999998</v>
      </c>
      <c r="V42" s="6">
        <f>$B42*Prices!V42</f>
        <v>20226.060000000001</v>
      </c>
      <c r="W42" s="6">
        <f>$B42*Prices!W42</f>
        <v>20169.719999999998</v>
      </c>
      <c r="X42" s="6">
        <f>$B42*Prices!X42</f>
        <v>20182.240000000002</v>
      </c>
      <c r="Y42" s="6">
        <f>$B42*Prices!Y42</f>
        <v>20345</v>
      </c>
      <c r="Z42" s="6">
        <f>$B42*Prices!Z42</f>
        <v>20473.329999999998</v>
      </c>
      <c r="AA42" s="6">
        <f>$B42*Prices!AA42</f>
        <v>20191.63</v>
      </c>
      <c r="AB42" s="6">
        <f>$B42*Prices!AB42</f>
        <v>20205.715000000004</v>
      </c>
      <c r="AC42" s="6">
        <f>$B42*Prices!AC42</f>
        <v>19997.57</v>
      </c>
      <c r="AD42" s="6">
        <f>$B42*Prices!AD42</f>
        <v>20013.219999999998</v>
      </c>
      <c r="AE42" s="6">
        <f>$B42*Prices!AE42</f>
        <v>20404.469999999998</v>
      </c>
      <c r="AF42" s="6">
        <f>$B42*Prices!AF42</f>
        <v>20560.969999999998</v>
      </c>
      <c r="AG42" s="6">
        <f>$B42*Prices!AG42</f>
        <v>20517.149999999998</v>
      </c>
      <c r="AH42" s="6">
        <f>$B42*Prices!AH42</f>
        <v>20889.62</v>
      </c>
      <c r="AI42" s="6">
        <f>$B42*Prices!AI42</f>
        <v>20589.14</v>
      </c>
      <c r="AJ42" s="6">
        <f>$B42*Prices!AJ42</f>
        <v>20298.05</v>
      </c>
      <c r="AK42" s="6">
        <f>$B42*Prices!AK42</f>
        <v>20460.810000000001</v>
      </c>
      <c r="AL42" s="6">
        <f>$B42*Prices!AL42</f>
        <v>20398.21</v>
      </c>
      <c r="AM42" s="6">
        <f>$B42*Prices!AM42</f>
        <v>20352.825000000001</v>
      </c>
      <c r="AN42" s="6">
        <f>$B42*Prices!AN42</f>
        <v>20260.490000000002</v>
      </c>
      <c r="AO42" s="6">
        <f>$B42*Prices!AO42</f>
        <v>20448.29</v>
      </c>
      <c r="AP42" s="6">
        <f>$B42*Prices!AP42</f>
        <v>20598.530000000002</v>
      </c>
      <c r="AQ42" s="6">
        <f>$B42*Prices!AQ42</f>
        <v>20241.71</v>
      </c>
      <c r="AR42" s="6">
        <f>$B42*Prices!AR42</f>
        <v>20335.61</v>
      </c>
      <c r="AS42" s="6">
        <f>$B42*Prices!AS42</f>
        <v>20817.63</v>
      </c>
      <c r="AT42" s="6">
        <f>$B42*Prices!AT42</f>
        <v>20266.75</v>
      </c>
      <c r="AU42" s="6">
        <f>$B42*Prices!AU42</f>
        <v>20348.13</v>
      </c>
      <c r="AV42" s="6">
        <f>$B42*Prices!AV42</f>
        <v>20263.62</v>
      </c>
      <c r="AW42" s="6">
        <f>$B42*Prices!AW42</f>
        <v>20420.12</v>
      </c>
      <c r="AX42" s="6">
        <f>$B42*Prices!AX42</f>
        <v>20582.88</v>
      </c>
      <c r="AY42" s="6">
        <f>$B42*Prices!AY42</f>
        <v>20132.159999999996</v>
      </c>
      <c r="AZ42" s="6">
        <f>$B42*Prices!AZ42</f>
        <v>20172.850000000002</v>
      </c>
      <c r="BA42" s="6">
        <f>$B42*Prices!BA42</f>
        <v>20232.32</v>
      </c>
      <c r="BB42" s="6">
        <f>$B42*Prices!BB42</f>
        <v>20160.329999999998</v>
      </c>
      <c r="BC42" s="6">
        <f>$B42*Prices!BC42</f>
        <v>20266.75</v>
      </c>
      <c r="BD42" s="6">
        <f>$B42*Prices!BD42</f>
        <v>20301.18</v>
      </c>
      <c r="BE42" s="6">
        <f>$B42*Prices!BE42</f>
        <v>20247.969999999998</v>
      </c>
      <c r="BF42" s="6">
        <f>$B42*Prices!BF42</f>
        <v>20091.469999999998</v>
      </c>
      <c r="BG42" s="6">
        <f>$B42*Prices!BG42</f>
        <v>20060.170000000002</v>
      </c>
      <c r="BH42" s="6">
        <f>$B42*Prices!BH42</f>
        <v>20232.32</v>
      </c>
      <c r="BI42" s="6">
        <f>$B42*Prices!BI42</f>
        <v>19790.989999999998</v>
      </c>
      <c r="BJ42" s="6">
        <f>$B42*Prices!BJ42</f>
        <v>19909.93</v>
      </c>
      <c r="BK42" s="6">
        <f>$B42*Prices!BK42</f>
        <v>19985.05</v>
      </c>
      <c r="BL42" s="6">
        <f>$B42*Prices!BL42</f>
        <v>19753.43</v>
      </c>
      <c r="BM42" s="6">
        <f>$B42*Prices!BM42</f>
        <v>19262.02</v>
      </c>
      <c r="BN42" s="6">
        <f>$B42*Prices!BN42</f>
        <v>19193.16</v>
      </c>
      <c r="BO42" s="6">
        <f>$B42*Prices!BO42</f>
        <v>19308.969999999998</v>
      </c>
      <c r="BP42" s="6">
        <f>$B42*Prices!BP42</f>
        <v>19487.38</v>
      </c>
      <c r="BQ42" s="6">
        <f>$B42*Prices!BQ42</f>
        <v>18614.11</v>
      </c>
      <c r="BR42" s="6">
        <f>$B42*Prices!BR42</f>
        <v>18470.13</v>
      </c>
      <c r="BS42" s="6">
        <f>$B42*Prices!BS42</f>
        <v>18513.95</v>
      </c>
      <c r="BT42" s="6">
        <f>$B42*Prices!BT42</f>
        <v>18673.579999999998</v>
      </c>
      <c r="BU42" s="6">
        <f>$B42*Prices!BU42</f>
        <v>18639.149999999998</v>
      </c>
      <c r="BV42" s="6">
        <f>$B42*Prices!BV42</f>
        <v>18167.146000000001</v>
      </c>
      <c r="BW42" s="6">
        <f>$B42*Prices!BW42</f>
        <v>18069.489999999998</v>
      </c>
      <c r="BX42" s="6">
        <f>$B42*Prices!BX42</f>
        <v>18072.62</v>
      </c>
      <c r="BY42" s="6">
        <f>$B42*Prices!BY42</f>
        <v>18025.670000000002</v>
      </c>
      <c r="BZ42" s="6">
        <f>$B42*Prices!BZ42</f>
        <v>18013.149999999998</v>
      </c>
      <c r="CA42" s="6">
        <f>$B42*Prices!CA42</f>
        <v>17809.700626000002</v>
      </c>
      <c r="CB42" s="6">
        <f>$B42*Prices!CB42</f>
        <v>17058.5</v>
      </c>
      <c r="CC42" s="6">
        <f>$B42*Prices!CC42</f>
        <v>16595.260000000002</v>
      </c>
      <c r="CD42" s="6">
        <f>$B42*Prices!CD42</f>
        <v>16510.75</v>
      </c>
      <c r="CE42" s="6">
        <f>$B42*Prices!CE42</f>
        <v>16363.639686999999</v>
      </c>
      <c r="CF42" s="6">
        <f>$B42*Prices!CF42</f>
        <v>16085.069687000001</v>
      </c>
      <c r="CG42" s="6">
        <f>$B42*Prices!CG42</f>
        <v>16178.969687000001</v>
      </c>
      <c r="CH42" s="6">
        <f>$B42*Prices!CH42</f>
        <v>15900.399686999999</v>
      </c>
      <c r="CI42" s="6">
        <f>$B42*Prices!CI42</f>
        <v>16169.579999999998</v>
      </c>
      <c r="CJ42" s="6">
        <f>$B42*Prices!CJ42</f>
        <v>15631.219687000001</v>
      </c>
      <c r="CK42" s="6">
        <f>$B42*Prices!CK42</f>
        <v>15427.770312999999</v>
      </c>
      <c r="CL42" s="6">
        <f>$B42*Prices!CL42</f>
        <v>14150.729687000001</v>
      </c>
      <c r="CM42" s="6">
        <f>$B42*Prices!CM42</f>
        <v>14604.579999999998</v>
      </c>
      <c r="CN42" s="6">
        <f>$B42*Prices!CN42</f>
        <v>13894.069687000001</v>
      </c>
      <c r="CO42" s="6">
        <f>$B42*Prices!CO42</f>
        <v>12207</v>
      </c>
      <c r="CP42" s="6">
        <f>$B42*Prices!CP42</f>
        <v>12645.200626</v>
      </c>
      <c r="CQ42" s="6">
        <f>$B42*Prices!CQ42</f>
        <v>11067.680312999999</v>
      </c>
      <c r="CR42" s="6">
        <f>$B42*Prices!CR42</f>
        <v>11559.09</v>
      </c>
      <c r="CS42" s="6">
        <f>$B42*Prices!CS42</f>
        <v>10360.299374</v>
      </c>
      <c r="CT42" s="6">
        <f>$B42*Prices!CT42</f>
        <v>10257.01</v>
      </c>
      <c r="CU42" s="6">
        <f>$B42*Prices!CU42</f>
        <v>10807.889686999999</v>
      </c>
      <c r="CV42" s="6">
        <f>$B42*Prices!CV42</f>
        <v>11393.200626</v>
      </c>
      <c r="CW42" s="6">
        <f>$B42*Prices!CW42</f>
        <v>12657.719687000001</v>
      </c>
      <c r="CX42" s="6">
        <f>$B42*Prices!CX42</f>
        <v>12823.610313000001</v>
      </c>
      <c r="CY42" s="6">
        <f>$B42*Prices!CY42</f>
        <v>13255.549374</v>
      </c>
      <c r="CZ42" s="6">
        <f>$B42*Prices!CZ42</f>
        <v>12617.030312999999</v>
      </c>
      <c r="DA42" s="6">
        <f>$B42*Prices!DA42</f>
        <v>13023.930312999999</v>
      </c>
      <c r="DB42" s="6">
        <f>$B42*Prices!DB42</f>
        <v>13146</v>
      </c>
      <c r="DC42" s="6"/>
      <c r="DD42" s="6"/>
      <c r="DE42" s="6"/>
      <c r="DF42" s="6"/>
      <c r="DG42" s="6"/>
      <c r="DH42" s="6"/>
      <c r="DI42" s="6"/>
      <c r="DJ42" s="6"/>
    </row>
    <row r="43" spans="1:114">
      <c r="A43" s="3" t="s">
        <v>40</v>
      </c>
      <c r="B43">
        <v>36</v>
      </c>
      <c r="C43" s="6">
        <f>$B43*Prices!C43</f>
        <v>6269.0399999999991</v>
      </c>
      <c r="D43" s="6">
        <f>$B43*Prices!D43</f>
        <v>6339.9600000000009</v>
      </c>
      <c r="E43" s="6">
        <f>$B43*Prices!E43</f>
        <v>6447.5999999999995</v>
      </c>
      <c r="F43" s="6">
        <f>$B43*Prices!F43</f>
        <v>6441.12</v>
      </c>
      <c r="G43" s="6">
        <f>$B43*Prices!G43</f>
        <v>6334.92</v>
      </c>
      <c r="H43" s="6">
        <f>$B43*Prices!H43</f>
        <v>6404.0399999999991</v>
      </c>
      <c r="I43" s="6">
        <f>$B43*Prices!I43</f>
        <v>6420.9600000000009</v>
      </c>
      <c r="J43" s="6">
        <f>$B43*Prices!J43</f>
        <v>6472.8</v>
      </c>
      <c r="K43" s="6">
        <f>$B43*Prices!K43</f>
        <v>6350.0399999999991</v>
      </c>
      <c r="L43" s="6">
        <f>$B43*Prices!L43</f>
        <v>6324.12</v>
      </c>
      <c r="M43" s="6">
        <f>$B43*Prices!M43</f>
        <v>6277.68</v>
      </c>
      <c r="N43" s="6">
        <f>$B43*Prices!N43</f>
        <v>6281.28</v>
      </c>
      <c r="O43" s="6">
        <f>$B43*Prices!O43</f>
        <v>6296.76</v>
      </c>
      <c r="P43" s="6">
        <f>$B43*Prices!P43</f>
        <v>6251.4000000000005</v>
      </c>
      <c r="Q43" s="6">
        <f>$B43*Prices!Q43</f>
        <v>6194.5199999999995</v>
      </c>
      <c r="R43" s="6">
        <f>$B43*Prices!R43</f>
        <v>6337.08</v>
      </c>
      <c r="S43" s="6">
        <f>$B43*Prices!S43</f>
        <v>6313.68</v>
      </c>
      <c r="T43" s="6">
        <f>$B43*Prices!T43</f>
        <v>6357.9600000000009</v>
      </c>
      <c r="U43" s="6">
        <f>$B43*Prices!U43</f>
        <v>6359.4000000000005</v>
      </c>
      <c r="V43" s="6">
        <f>$B43*Prices!V43</f>
        <v>6086.16</v>
      </c>
      <c r="W43" s="6">
        <f>$B43*Prices!W43</f>
        <v>6049.8</v>
      </c>
      <c r="X43" s="6">
        <f>$B43*Prices!X43</f>
        <v>5950.44</v>
      </c>
      <c r="Y43" s="6">
        <f>$B43*Prices!Y43</f>
        <v>5886</v>
      </c>
      <c r="Z43" s="6">
        <f>$B43*Prices!Z43</f>
        <v>5949.72</v>
      </c>
      <c r="AA43" s="6">
        <f>$B43*Prices!AA43</f>
        <v>5924.88</v>
      </c>
      <c r="AB43" s="6">
        <f>$B43*Prices!AB43</f>
        <v>5947.56</v>
      </c>
      <c r="AC43" s="6">
        <f>$B43*Prices!AC43</f>
        <v>6044.4000000000005</v>
      </c>
      <c r="AD43" s="6">
        <f>$B43*Prices!AD43</f>
        <v>6116.4000000000005</v>
      </c>
      <c r="AE43" s="6">
        <f>$B43*Prices!AE43</f>
        <v>6109.2</v>
      </c>
      <c r="AF43" s="6">
        <f>$B43*Prices!AF43</f>
        <v>6257.5199999999995</v>
      </c>
      <c r="AG43" s="6">
        <f>$B43*Prices!AG43</f>
        <v>6210</v>
      </c>
      <c r="AH43" s="6">
        <f>$B43*Prices!AH43</f>
        <v>6222.5999999999995</v>
      </c>
      <c r="AI43" s="6">
        <f>$B43*Prices!AI43</f>
        <v>6258.24</v>
      </c>
      <c r="AJ43" s="6">
        <f>$B43*Prices!AJ43</f>
        <v>6213.9600000000009</v>
      </c>
      <c r="AK43" s="6">
        <f>$B43*Prices!AK43</f>
        <v>6219.36</v>
      </c>
      <c r="AL43" s="6">
        <f>$B43*Prices!AL43</f>
        <v>6287.4000000000005</v>
      </c>
      <c r="AM43" s="6">
        <f>$B43*Prices!AM43</f>
        <v>6301.8</v>
      </c>
      <c r="AN43" s="6">
        <f>$B43*Prices!AN43</f>
        <v>6282</v>
      </c>
      <c r="AO43" s="6">
        <f>$B43*Prices!AO43</f>
        <v>6292.8</v>
      </c>
      <c r="AP43" s="6">
        <f>$B43*Prices!AP43</f>
        <v>6329.16</v>
      </c>
      <c r="AQ43" s="6">
        <f>$B43*Prices!AQ43</f>
        <v>6269.76</v>
      </c>
      <c r="AR43" s="6">
        <f>$B43*Prices!AR43</f>
        <v>6237.36</v>
      </c>
      <c r="AS43" s="6">
        <f>$B43*Prices!AS43</f>
        <v>6366.9600000000009</v>
      </c>
      <c r="AT43" s="6">
        <f>$B43*Prices!AT43</f>
        <v>6319.8</v>
      </c>
      <c r="AU43" s="6">
        <f>$B43*Prices!AU43</f>
        <v>6365.16</v>
      </c>
      <c r="AV43" s="6">
        <f>$B43*Prices!AV43</f>
        <v>6254.64</v>
      </c>
      <c r="AW43" s="6">
        <f>$B43*Prices!AW43</f>
        <v>6332.4000000000005</v>
      </c>
      <c r="AX43" s="6">
        <f>$B43*Prices!AX43</f>
        <v>6393.5999999999995</v>
      </c>
      <c r="AY43" s="6">
        <f>$B43*Prices!AY43</f>
        <v>6243.4800000000005</v>
      </c>
      <c r="AZ43" s="6">
        <f>$B43*Prices!AZ43</f>
        <v>6290.64</v>
      </c>
      <c r="BA43" s="6">
        <f>$B43*Prices!BA43</f>
        <v>6252.12</v>
      </c>
      <c r="BB43" s="6">
        <f>$B43*Prices!BB43</f>
        <v>6225.12</v>
      </c>
      <c r="BC43" s="6">
        <f>$B43*Prices!BC43</f>
        <v>6316.92</v>
      </c>
      <c r="BD43" s="6">
        <f>$B43*Prices!BD43</f>
        <v>6343.2</v>
      </c>
      <c r="BE43" s="6">
        <f>$B43*Prices!BE43</f>
        <v>6212.16</v>
      </c>
      <c r="BF43" s="6">
        <f>$B43*Prices!BF43</f>
        <v>6161.76</v>
      </c>
      <c r="BG43" s="6">
        <f>$B43*Prices!BG43</f>
        <v>6194.16</v>
      </c>
      <c r="BH43" s="6">
        <f>$B43*Prices!BH43</f>
        <v>6124.32</v>
      </c>
      <c r="BI43" s="6">
        <f>$B43*Prices!BI43</f>
        <v>5878.08</v>
      </c>
      <c r="BJ43" s="6">
        <f>$B43*Prices!BJ43</f>
        <v>5867.28</v>
      </c>
      <c r="BK43" s="6">
        <f>$B43*Prices!BK43</f>
        <v>5765.76</v>
      </c>
      <c r="BL43" s="6">
        <f>$B43*Prices!BL43</f>
        <v>5799.9600000000009</v>
      </c>
      <c r="BM43" s="6">
        <f>$B43*Prices!BM43</f>
        <v>5708.88</v>
      </c>
      <c r="BN43" s="6">
        <f>$B43*Prices!BN43</f>
        <v>5698.44</v>
      </c>
      <c r="BO43" s="6">
        <f>$B43*Prices!BO43</f>
        <v>5919.4800000000005</v>
      </c>
      <c r="BP43" s="6">
        <f>$B43*Prices!BP43</f>
        <v>6060.5999999999995</v>
      </c>
      <c r="BQ43" s="6">
        <f>$B43*Prices!BQ43</f>
        <v>6078.9600000000009</v>
      </c>
      <c r="BR43" s="6">
        <f>$B43*Prices!BR43</f>
        <v>6028.2</v>
      </c>
      <c r="BS43" s="6">
        <f>$B43*Prices!BS43</f>
        <v>6056.64</v>
      </c>
      <c r="BT43" s="6">
        <f>$B43*Prices!BT43</f>
        <v>6129.36</v>
      </c>
      <c r="BU43" s="6">
        <f>$B43*Prices!BU43</f>
        <v>6185.88</v>
      </c>
      <c r="BV43" s="6">
        <f>$B43*Prices!BV43</f>
        <v>6147.36</v>
      </c>
      <c r="BW43" s="6">
        <f>$B43*Prices!BW43</f>
        <v>6050.5199999999995</v>
      </c>
      <c r="BX43" s="6">
        <f>$B43*Prices!BX43</f>
        <v>5986.8</v>
      </c>
      <c r="BY43" s="6">
        <f>$B43*Prices!BY43</f>
        <v>5937.4800000000005</v>
      </c>
      <c r="BZ43" s="6">
        <f>$B43*Prices!BZ43</f>
        <v>5969.88</v>
      </c>
      <c r="CA43" s="6">
        <f>$B43*Prices!CA43</f>
        <v>6351.549516</v>
      </c>
      <c r="CB43" s="6">
        <f>$B43*Prices!CB43</f>
        <v>6152.1580800000002</v>
      </c>
      <c r="CC43" s="6">
        <f>$B43*Prices!CC43</f>
        <v>5965.6525199999996</v>
      </c>
      <c r="CD43" s="6">
        <f>$B43*Prices!CD43</f>
        <v>5975.3183040000004</v>
      </c>
      <c r="CE43" s="6">
        <f>$B43*Prices!CE43</f>
        <v>5727.2420519999996</v>
      </c>
      <c r="CF43" s="6">
        <f>$B43*Prices!CF43</f>
        <v>5601.5925120000002</v>
      </c>
      <c r="CG43" s="6">
        <f>$B43*Prices!CG43</f>
        <v>5867.9258399999999</v>
      </c>
      <c r="CH43" s="6">
        <f>$B43*Prices!CH43</f>
        <v>5648.1289560000005</v>
      </c>
      <c r="CI43" s="6">
        <f>$B43*Prices!CI43</f>
        <v>5837.4980999999998</v>
      </c>
      <c r="CJ43" s="6">
        <f>$B43*Prices!CJ43</f>
        <v>5694.308352</v>
      </c>
      <c r="CK43" s="6">
        <f>$B43*Prices!CK43</f>
        <v>5872.2215040000001</v>
      </c>
      <c r="CL43" s="6">
        <f>$B43*Prices!CL43</f>
        <v>5369.62446</v>
      </c>
      <c r="CM43" s="6">
        <f>$B43*Prices!CM43</f>
        <v>5548.2544440000001</v>
      </c>
      <c r="CN43" s="6">
        <f>$B43*Prices!CN43</f>
        <v>5222.139048</v>
      </c>
      <c r="CO43" s="6">
        <f>$B43*Prices!CO43</f>
        <v>4667.63544</v>
      </c>
      <c r="CP43" s="6">
        <f>$B43*Prices!CP43</f>
        <v>4974.4204200000004</v>
      </c>
      <c r="CQ43" s="6">
        <f>$B43*Prices!CQ43</f>
        <v>4297.48956</v>
      </c>
      <c r="CR43" s="6">
        <f>$B43*Prices!CR43</f>
        <v>4535.9008560000002</v>
      </c>
      <c r="CS43" s="6">
        <f>$B43*Prices!CS43</f>
        <v>4088.432088</v>
      </c>
      <c r="CT43" s="6">
        <f>$B43*Prices!CT43</f>
        <v>4283.5286880000003</v>
      </c>
      <c r="CU43" s="6">
        <f>$B43*Prices!CU43</f>
        <v>3996.0744479999998</v>
      </c>
      <c r="CV43" s="6">
        <f>$B43*Prices!CV43</f>
        <v>3978.8918279999998</v>
      </c>
      <c r="CW43" s="6">
        <f>$B43*Prices!CW43</f>
        <v>4510.4848199999997</v>
      </c>
      <c r="CX43" s="6">
        <f>$B43*Prices!CX43</f>
        <v>4599.6207119999999</v>
      </c>
      <c r="CY43" s="6">
        <f>$B43*Prices!CY43</f>
        <v>4979.0736720000004</v>
      </c>
      <c r="CZ43" s="6">
        <f>$B43*Prices!CZ43</f>
        <v>4836.5996759999998</v>
      </c>
      <c r="DA43" s="6">
        <f>$B43*Prices!DA43</f>
        <v>5084.2798560000001</v>
      </c>
      <c r="DB43" s="6">
        <f>$B43*Prices!DB43</f>
        <v>4973.7601439999999</v>
      </c>
      <c r="DC43" s="6"/>
      <c r="DD43" s="6"/>
      <c r="DE43" s="6"/>
      <c r="DF43" s="6"/>
      <c r="DG43" s="6"/>
      <c r="DH43" s="6"/>
      <c r="DI43" s="6"/>
      <c r="DJ43" s="6"/>
    </row>
    <row r="44" spans="1:114">
      <c r="A44" s="3" t="s">
        <v>41</v>
      </c>
      <c r="B44">
        <v>72</v>
      </c>
      <c r="C44" s="6">
        <f>$B44*Prices!C44</f>
        <v>5950.08</v>
      </c>
      <c r="D44" s="6">
        <f>$B44*Prices!D44</f>
        <v>6006.9600000000009</v>
      </c>
      <c r="E44" s="6">
        <f>$B44*Prices!E44</f>
        <v>6046.56</v>
      </c>
      <c r="F44" s="6">
        <f>$B44*Prices!F44</f>
        <v>6030.72</v>
      </c>
      <c r="G44" s="6">
        <f>$B44*Prices!G44</f>
        <v>6042.24</v>
      </c>
      <c r="H44" s="6">
        <f>$B44*Prices!H44</f>
        <v>6038.64</v>
      </c>
      <c r="I44" s="6">
        <f>$B44*Prices!I44</f>
        <v>6041.5199999999995</v>
      </c>
      <c r="J44" s="6">
        <f>$B44*Prices!J44</f>
        <v>5990.4000000000005</v>
      </c>
      <c r="K44" s="6">
        <f>$B44*Prices!K44</f>
        <v>5978.88</v>
      </c>
      <c r="L44" s="6">
        <f>$B44*Prices!L44</f>
        <v>5955.12</v>
      </c>
      <c r="M44" s="6">
        <f>$B44*Prices!M44</f>
        <v>5890.32</v>
      </c>
      <c r="N44" s="6">
        <f>$B44*Prices!N44</f>
        <v>5850</v>
      </c>
      <c r="O44" s="6">
        <f>$B44*Prices!O44</f>
        <v>5850</v>
      </c>
      <c r="P44" s="6">
        <f>$B44*Prices!P44</f>
        <v>5830.56</v>
      </c>
      <c r="Q44" s="6">
        <f>$B44*Prices!Q44</f>
        <v>5809.68</v>
      </c>
      <c r="R44" s="6">
        <f>$B44*Prices!R44</f>
        <v>5748.4800000000005</v>
      </c>
      <c r="S44" s="6">
        <f>$B44*Prices!S44</f>
        <v>5770.08</v>
      </c>
      <c r="T44" s="6">
        <f>$B44*Prices!T44</f>
        <v>5860.08</v>
      </c>
      <c r="U44" s="6">
        <f>$B44*Prices!U44</f>
        <v>5902.56</v>
      </c>
      <c r="V44" s="6">
        <f>$B44*Prices!V44</f>
        <v>5854.32</v>
      </c>
      <c r="W44" s="6">
        <f>$B44*Prices!W44</f>
        <v>5846.4000000000005</v>
      </c>
      <c r="X44" s="6">
        <f>$B44*Prices!X44</f>
        <v>5739.12</v>
      </c>
      <c r="Y44" s="6">
        <f>$B44*Prices!Y44</f>
        <v>5848.56</v>
      </c>
      <c r="Z44" s="6">
        <f>$B44*Prices!Z44</f>
        <v>5856.4800000000005</v>
      </c>
      <c r="AA44" s="6">
        <f>$B44*Prices!AA44</f>
        <v>5892.4800000000005</v>
      </c>
      <c r="AB44" s="6">
        <f>$B44*Prices!AB44</f>
        <v>5855.76</v>
      </c>
      <c r="AC44" s="6">
        <f>$B44*Prices!AC44</f>
        <v>5796</v>
      </c>
      <c r="AD44" s="6">
        <f>$B44*Prices!AD44</f>
        <v>5805.36</v>
      </c>
      <c r="AE44" s="6">
        <f>$B44*Prices!AE44</f>
        <v>5744.16</v>
      </c>
      <c r="AF44" s="6">
        <f>$B44*Prices!AF44</f>
        <v>5677.92</v>
      </c>
      <c r="AG44" s="6">
        <f>$B44*Prices!AG44</f>
        <v>5661.36</v>
      </c>
      <c r="AH44" s="6">
        <f>$B44*Prices!AH44</f>
        <v>5588.64</v>
      </c>
      <c r="AI44" s="6">
        <f>$B44*Prices!AI44</f>
        <v>5600.16</v>
      </c>
      <c r="AJ44" s="6">
        <f>$B44*Prices!AJ44</f>
        <v>5639.76</v>
      </c>
      <c r="AK44" s="6">
        <f>$B44*Prices!AK44</f>
        <v>5615.28</v>
      </c>
      <c r="AL44" s="6">
        <f>$B44*Prices!AL44</f>
        <v>5736.24</v>
      </c>
      <c r="AM44" s="6">
        <f>$B44*Prices!AM44</f>
        <v>5730.4800000000005</v>
      </c>
      <c r="AN44" s="6">
        <f>$B44*Prices!AN44</f>
        <v>5753.5199999999995</v>
      </c>
      <c r="AO44" s="6">
        <f>$B44*Prices!AO44</f>
        <v>5778</v>
      </c>
      <c r="AP44" s="6">
        <f>$B44*Prices!AP44</f>
        <v>5794.56</v>
      </c>
      <c r="AQ44" s="6">
        <f>$B44*Prices!AQ44</f>
        <v>5782.32</v>
      </c>
      <c r="AR44" s="6">
        <f>$B44*Prices!AR44</f>
        <v>5776.56</v>
      </c>
      <c r="AS44" s="6">
        <f>$B44*Prices!AS44</f>
        <v>5847.12</v>
      </c>
      <c r="AT44" s="6">
        <f>$B44*Prices!AT44</f>
        <v>5862.24</v>
      </c>
      <c r="AU44" s="6">
        <f>$B44*Prices!AU44</f>
        <v>5849.28</v>
      </c>
      <c r="AV44" s="6">
        <f>$B44*Prices!AV44</f>
        <v>5818.32</v>
      </c>
      <c r="AW44" s="6">
        <f>$B44*Prices!AW44</f>
        <v>5880.9600000000009</v>
      </c>
      <c r="AX44" s="6">
        <f>$B44*Prices!AX44</f>
        <v>5880.24</v>
      </c>
      <c r="AY44" s="6">
        <f>$B44*Prices!AY44</f>
        <v>5897.5199999999995</v>
      </c>
      <c r="AZ44" s="6">
        <f>$B44*Prices!AZ44</f>
        <v>5979.5999999999995</v>
      </c>
      <c r="BA44" s="6">
        <f>$B44*Prices!BA44</f>
        <v>5941.44</v>
      </c>
      <c r="BB44" s="6">
        <f>$B44*Prices!BB44</f>
        <v>5955.12</v>
      </c>
      <c r="BC44" s="6">
        <f>$B44*Prices!BC44</f>
        <v>6048.72</v>
      </c>
      <c r="BD44" s="6">
        <f>$B44*Prices!BD44</f>
        <v>6003.36</v>
      </c>
      <c r="BE44" s="6">
        <f>$B44*Prices!BE44</f>
        <v>6005.5199999999995</v>
      </c>
      <c r="BF44" s="6">
        <f>$B44*Prices!BF44</f>
        <v>6096.24</v>
      </c>
      <c r="BG44" s="6">
        <f>$B44*Prices!BG44</f>
        <v>6161.0399999999991</v>
      </c>
      <c r="BH44" s="6">
        <f>$B44*Prices!BH44</f>
        <v>6081.12</v>
      </c>
      <c r="BI44" s="6">
        <f>$B44*Prices!BI44</f>
        <v>6132.9600000000009</v>
      </c>
      <c r="BJ44" s="6">
        <f>$B44*Prices!BJ44</f>
        <v>6263.28</v>
      </c>
      <c r="BK44" s="6">
        <f>$B44*Prices!BK44</f>
        <v>6228.72</v>
      </c>
      <c r="BL44" s="6">
        <f>$B44*Prices!BL44</f>
        <v>6149.5199999999995</v>
      </c>
      <c r="BM44" s="6">
        <f>$B44*Prices!BM44</f>
        <v>5952.24</v>
      </c>
      <c r="BN44" s="6">
        <f>$B44*Prices!BN44</f>
        <v>6017.0399999999991</v>
      </c>
      <c r="BO44" s="6">
        <f>$B44*Prices!BO44</f>
        <v>6227.28</v>
      </c>
      <c r="BP44" s="6">
        <f>$B44*Prices!BP44</f>
        <v>6194.16</v>
      </c>
      <c r="BQ44" s="6">
        <f>$B44*Prices!BQ44</f>
        <v>6243.12</v>
      </c>
      <c r="BR44" s="6">
        <f>$B44*Prices!BR44</f>
        <v>6233.0399999999991</v>
      </c>
      <c r="BS44" s="6">
        <f>$B44*Prices!BS44</f>
        <v>6262.56</v>
      </c>
      <c r="BT44" s="6">
        <f>$B44*Prices!BT44</f>
        <v>6174</v>
      </c>
      <c r="BU44" s="6">
        <f>$B44*Prices!BU44</f>
        <v>6093.36</v>
      </c>
      <c r="BV44" s="6">
        <f>$B44*Prices!BV44</f>
        <v>6062.4000000000005</v>
      </c>
      <c r="BW44" s="6">
        <f>$B44*Prices!BW44</f>
        <v>6138</v>
      </c>
      <c r="BX44" s="6">
        <f>$B44*Prices!BX44</f>
        <v>6145.92</v>
      </c>
      <c r="BY44" s="6">
        <f>$B44*Prices!BY44</f>
        <v>6117.12</v>
      </c>
      <c r="BZ44" s="6">
        <f>$B44*Prices!BZ44</f>
        <v>6119.28</v>
      </c>
      <c r="CA44" s="6">
        <f>$B44*Prices!CA44</f>
        <v>6105.8974319999998</v>
      </c>
      <c r="CB44" s="6">
        <f>$B44*Prices!CB44</f>
        <v>5925.1305600000005</v>
      </c>
      <c r="CC44" s="6">
        <f>$B44*Prices!CC44</f>
        <v>5755.841136</v>
      </c>
      <c r="CD44" s="6">
        <f>$B44*Prices!CD44</f>
        <v>5763.7320479999998</v>
      </c>
      <c r="CE44" s="6">
        <f>$B44*Prices!CE44</f>
        <v>5701.3247520000004</v>
      </c>
      <c r="CF44" s="6">
        <f>$B44*Prices!CF44</f>
        <v>5697.7377120000001</v>
      </c>
      <c r="CG44" s="6">
        <f>$B44*Prices!CG44</f>
        <v>5948.8027919999995</v>
      </c>
      <c r="CH44" s="6">
        <f>$B44*Prices!CH44</f>
        <v>5839.0516079999998</v>
      </c>
      <c r="CI44" s="6">
        <f>$B44*Prices!CI44</f>
        <v>6077.2044240000005</v>
      </c>
      <c r="CJ44" s="6">
        <f>$B44*Prices!CJ44</f>
        <v>6024.1222799999996</v>
      </c>
      <c r="CK44" s="6">
        <f>$B44*Prices!CK44</f>
        <v>5928.0001920000004</v>
      </c>
      <c r="CL44" s="6">
        <f>$B44*Prices!CL44</f>
        <v>5667.6099599999998</v>
      </c>
      <c r="CM44" s="6">
        <f>$B44*Prices!CM44</f>
        <v>5784.5341439999993</v>
      </c>
      <c r="CN44" s="6">
        <f>$B44*Prices!CN44</f>
        <v>5386.4170559999993</v>
      </c>
      <c r="CO44" s="6">
        <f>$B44*Prices!CO44</f>
        <v>4659.7637519999998</v>
      </c>
      <c r="CP44" s="6">
        <f>$B44*Prices!CP44</f>
        <v>4993.32132</v>
      </c>
      <c r="CQ44" s="6">
        <f>$B44*Prices!CQ44</f>
        <v>4544.9915039999996</v>
      </c>
      <c r="CR44" s="6">
        <f>$B44*Prices!CR44</f>
        <v>4527.0582479999994</v>
      </c>
      <c r="CS44" s="6">
        <f>$B44*Prices!CS44</f>
        <v>4192.0658640000001</v>
      </c>
      <c r="CT44" s="6">
        <f>$B44*Prices!CT44</f>
        <v>4730.06196</v>
      </c>
      <c r="CU44" s="6">
        <f>$B44*Prices!CU44</f>
        <v>3986.9102160000002</v>
      </c>
      <c r="CV44" s="6">
        <f>$B44*Prices!CV44</f>
        <v>3524.2333199999998</v>
      </c>
      <c r="CW44" s="6">
        <f>$B44*Prices!CW44</f>
        <v>3859.9431119999999</v>
      </c>
      <c r="CX44" s="6">
        <f>$B44*Prices!CX44</f>
        <v>3961.086264</v>
      </c>
      <c r="CY44" s="6">
        <f>$B44*Prices!CY44</f>
        <v>4291.774488</v>
      </c>
      <c r="CZ44" s="6">
        <f>$B44*Prices!CZ44</f>
        <v>4272.406704</v>
      </c>
      <c r="DA44" s="6">
        <f>$B44*Prices!DA44</f>
        <v>4437.3921839999994</v>
      </c>
      <c r="DB44" s="6">
        <f>$B44*Prices!DB44</f>
        <v>4446</v>
      </c>
      <c r="DC44" s="6"/>
      <c r="DD44" s="6"/>
      <c r="DE44" s="6"/>
      <c r="DF44" s="6"/>
      <c r="DG44" s="6"/>
      <c r="DH44" s="6"/>
      <c r="DI44" s="6"/>
      <c r="DJ44" s="6"/>
    </row>
    <row r="45" spans="1:114">
      <c r="A45" s="3" t="s">
        <v>42</v>
      </c>
      <c r="B45">
        <v>47</v>
      </c>
      <c r="C45" s="6">
        <f>$B45*Prices!C45</f>
        <v>17703.96</v>
      </c>
      <c r="D45" s="6">
        <f>$B45*Prices!D45</f>
        <v>17820.990000000002</v>
      </c>
      <c r="E45" s="6">
        <f>$B45*Prices!E45</f>
        <v>17600.560000000001</v>
      </c>
      <c r="F45" s="6">
        <f>$B45*Prices!F45</f>
        <v>17560.61</v>
      </c>
      <c r="G45" s="6">
        <f>$B45*Prices!G45</f>
        <v>17850.13</v>
      </c>
      <c r="H45" s="6">
        <f>$B45*Prices!H45</f>
        <v>17801.25</v>
      </c>
      <c r="I45" s="6">
        <f>$B45*Prices!I45</f>
        <v>17947.420000000002</v>
      </c>
      <c r="J45" s="6">
        <f>$B45*Prices!J45</f>
        <v>17924.86</v>
      </c>
      <c r="K45" s="6">
        <f>$B45*Prices!K45</f>
        <v>18156.100000000002</v>
      </c>
      <c r="L45" s="6">
        <f>$B45*Prices!L45</f>
        <v>18221.43</v>
      </c>
      <c r="M45" s="6">
        <f>$B45*Prices!M45</f>
        <v>18337.52</v>
      </c>
      <c r="N45" s="6">
        <f>$B45*Prices!N45</f>
        <v>18496.850000000002</v>
      </c>
      <c r="O45" s="6">
        <f>$B45*Prices!O45</f>
        <v>18459.72</v>
      </c>
      <c r="P45" s="6">
        <f>$B45*Prices!P45</f>
        <v>18368.07</v>
      </c>
      <c r="Q45" s="6">
        <f>$B45*Prices!Q45</f>
        <v>18456.899999999998</v>
      </c>
      <c r="R45" s="6">
        <f>$B45*Prices!R45</f>
        <v>18342.22</v>
      </c>
      <c r="S45" s="6">
        <f>$B45*Prices!S45</f>
        <v>18364.78</v>
      </c>
      <c r="T45" s="6">
        <f>$B45*Prices!T45</f>
        <v>18329.060000000001</v>
      </c>
      <c r="U45" s="6">
        <f>$B45*Prices!U45</f>
        <v>18447.5</v>
      </c>
      <c r="V45" s="6">
        <f>$B45*Prices!V45</f>
        <v>18529.28</v>
      </c>
      <c r="W45" s="6">
        <f>$B45*Prices!W45</f>
        <v>18378.41</v>
      </c>
      <c r="X45" s="6">
        <f>$B45*Prices!X45</f>
        <v>18030.14</v>
      </c>
      <c r="Y45" s="6">
        <f>$B45*Prices!Y45</f>
        <v>17936.14</v>
      </c>
      <c r="Z45" s="6">
        <f>$B45*Prices!Z45</f>
        <v>18075.259999999998</v>
      </c>
      <c r="AA45" s="6">
        <f>$B45*Prices!AA45</f>
        <v>18139.18</v>
      </c>
      <c r="AB45" s="6">
        <f>$B45*Prices!AB45</f>
        <v>18182.420000000002</v>
      </c>
      <c r="AC45" s="6">
        <f>$B45*Prices!AC45</f>
        <v>18016.98</v>
      </c>
      <c r="AD45" s="6">
        <f>$B45*Prices!AD45</f>
        <v>18068.68</v>
      </c>
      <c r="AE45" s="6">
        <f>$B45*Prices!AE45</f>
        <v>18153.28</v>
      </c>
      <c r="AF45" s="6">
        <f>$B45*Prices!AF45</f>
        <v>18050.350000000002</v>
      </c>
      <c r="AG45" s="6">
        <f>$B45*Prices!AG45</f>
        <v>18164.09</v>
      </c>
      <c r="AH45" s="6">
        <f>$B45*Prices!AH45</f>
        <v>18139.649999999998</v>
      </c>
      <c r="AI45" s="6">
        <f>$B45*Prices!AI45</f>
        <v>18183.829999999998</v>
      </c>
      <c r="AJ45" s="6">
        <f>$B45*Prices!AJ45</f>
        <v>17886.79</v>
      </c>
      <c r="AK45" s="6">
        <f>$B45*Prices!AK45</f>
        <v>18008.05</v>
      </c>
      <c r="AL45" s="6">
        <f>$B45*Prices!AL45</f>
        <v>18164.09</v>
      </c>
      <c r="AM45" s="6">
        <f>$B45*Prices!AM45</f>
        <v>18419.3</v>
      </c>
      <c r="AN45" s="6">
        <f>$B45*Prices!AN45</f>
        <v>18337.990000000002</v>
      </c>
      <c r="AO45" s="6">
        <f>$B45*Prices!AO45</f>
        <v>18438.100000000002</v>
      </c>
      <c r="AP45" s="6">
        <f>$B45*Prices!AP45</f>
        <v>18499.2</v>
      </c>
      <c r="AQ45" s="6">
        <f>$B45*Prices!AQ45</f>
        <v>18419.3</v>
      </c>
      <c r="AR45" s="6">
        <f>$B45*Prices!AR45</f>
        <v>18300.86</v>
      </c>
      <c r="AS45" s="6">
        <f>$B45*Prices!AS45</f>
        <v>18770.39</v>
      </c>
      <c r="AT45" s="6">
        <f>$B45*Prices!AT45</f>
        <v>19445.78</v>
      </c>
      <c r="AU45" s="6">
        <f>$B45*Prices!AU45</f>
        <v>19416.170000000002</v>
      </c>
      <c r="AV45" s="6">
        <f>$B45*Prices!AV45</f>
        <v>19481.5</v>
      </c>
      <c r="AW45" s="6">
        <f>$B45*Prices!AW45</f>
        <v>19318.41</v>
      </c>
      <c r="AX45" s="6">
        <f>$B45*Prices!AX45</f>
        <v>19501.71</v>
      </c>
      <c r="AY45" s="6">
        <f>$B45*Prices!AY45</f>
        <v>19450.009999999998</v>
      </c>
      <c r="AZ45" s="6">
        <f>$B45*Prices!AZ45</f>
        <v>19693.939999999999</v>
      </c>
      <c r="BA45" s="6">
        <f>$B45*Prices!BA45</f>
        <v>19558.579999999998</v>
      </c>
      <c r="BB45" s="6">
        <f>$B45*Prices!BB45</f>
        <v>19784.649999999998</v>
      </c>
      <c r="BC45" s="6">
        <f>$B45*Prices!BC45</f>
        <v>20007.899999999998</v>
      </c>
      <c r="BD45" s="6">
        <f>$B45*Prices!BD45</f>
        <v>20006.02</v>
      </c>
      <c r="BE45" s="6">
        <f>$B45*Prices!BE45</f>
        <v>20029.05</v>
      </c>
      <c r="BF45" s="6">
        <f>$B45*Prices!BF45</f>
        <v>19947.740000000002</v>
      </c>
      <c r="BG45" s="6">
        <f>$B45*Prices!BG45</f>
        <v>20152.66</v>
      </c>
      <c r="BH45" s="6">
        <f>$B45*Prices!BH45</f>
        <v>20327.5</v>
      </c>
      <c r="BI45" s="6">
        <f>$B45*Prices!BI45</f>
        <v>20321.86</v>
      </c>
      <c r="BJ45" s="6">
        <f>$B45*Prices!BJ45</f>
        <v>20546.990000000002</v>
      </c>
      <c r="BK45" s="6">
        <f>$B45*Prices!BK45</f>
        <v>20390.48</v>
      </c>
      <c r="BL45" s="6">
        <f>$B45*Prices!BL45</f>
        <v>20487.3</v>
      </c>
      <c r="BM45" s="6">
        <f>$B45*Prices!BM45</f>
        <v>20121.64</v>
      </c>
      <c r="BN45" s="6">
        <f>$B45*Prices!BN45</f>
        <v>19921.420000000002</v>
      </c>
      <c r="BO45" s="6">
        <f>$B45*Prices!BO45</f>
        <v>20246.66</v>
      </c>
      <c r="BP45" s="6">
        <f>$B45*Prices!BP45</f>
        <v>20453.93</v>
      </c>
      <c r="BQ45" s="6">
        <f>$B45*Prices!BQ45</f>
        <v>20631.59</v>
      </c>
      <c r="BR45" s="6">
        <f>$B45*Prices!BR45</f>
        <v>20640.990000000002</v>
      </c>
      <c r="BS45" s="6">
        <f>$B45*Prices!BS45</f>
        <v>20668.72</v>
      </c>
      <c r="BT45" s="6">
        <f>$B45*Prices!BT45</f>
        <v>20672.95</v>
      </c>
      <c r="BU45" s="6">
        <f>$B45*Prices!BU45</f>
        <v>20520.2</v>
      </c>
      <c r="BV45" s="6">
        <f>$B45*Prices!BV45</f>
        <v>20430.899999999998</v>
      </c>
      <c r="BW45" s="6">
        <f>$B45*Prices!BW45</f>
        <v>20578.95</v>
      </c>
      <c r="BX45" s="6">
        <f>$B45*Prices!BX45</f>
        <v>20470.850000000002</v>
      </c>
      <c r="BY45" s="6">
        <f>$B45*Prices!BY45</f>
        <v>20420.560000000001</v>
      </c>
      <c r="BZ45" s="6">
        <f>$B45*Prices!BZ45</f>
        <v>20020.59</v>
      </c>
      <c r="CA45" s="6">
        <f>$B45*Prices!CA45</f>
        <v>19981.128894000001</v>
      </c>
      <c r="CB45" s="6">
        <f>$B45*Prices!CB45</f>
        <v>19586.458237999999</v>
      </c>
      <c r="CC45" s="6">
        <f>$B45*Prices!CC45</f>
        <v>18699.496750999999</v>
      </c>
      <c r="CD45" s="6">
        <f>$B45*Prices!CD45</f>
        <v>18724.719395</v>
      </c>
      <c r="CE45" s="6">
        <f>$B45*Prices!CE45</f>
        <v>17963.400564</v>
      </c>
      <c r="CF45" s="6">
        <f>$B45*Prices!CF45</f>
        <v>17383.889765</v>
      </c>
      <c r="CG45" s="6">
        <f>$B45*Prices!CG45</f>
        <v>17923.450282000002</v>
      </c>
      <c r="CH45" s="6">
        <f>$B45*Prices!CH45</f>
        <v>17737.799717999998</v>
      </c>
      <c r="CI45" s="6">
        <f>$B45*Prices!CI45</f>
        <v>18895.409952999998</v>
      </c>
      <c r="CJ45" s="6">
        <f>$B45*Prices!CJ45</f>
        <v>18080.900564</v>
      </c>
      <c r="CK45" s="6">
        <f>$B45*Prices!CK45</f>
        <v>17976.090047000002</v>
      </c>
      <c r="CL45" s="6">
        <f>$B45*Prices!CL45</f>
        <v>16545.409952999998</v>
      </c>
      <c r="CM45" s="6">
        <f>$B45*Prices!CM45</f>
        <v>17256.990610999997</v>
      </c>
      <c r="CN45" s="6">
        <f>$B45*Prices!CN45</f>
        <v>16775.709671000001</v>
      </c>
      <c r="CO45" s="6">
        <f>$B45*Prices!CO45</f>
        <v>14634.860235</v>
      </c>
      <c r="CP45" s="6">
        <f>$B45*Prices!CP45</f>
        <v>15443.729812</v>
      </c>
      <c r="CQ45" s="6">
        <f>$B45*Prices!CQ45</f>
        <v>13533.180093999999</v>
      </c>
      <c r="CR45" s="6">
        <f>$B45*Prices!CR45</f>
        <v>14985.009389000001</v>
      </c>
      <c r="CS45" s="6">
        <f>$B45*Prices!CS45</f>
        <v>15670.270188</v>
      </c>
      <c r="CT45" s="6">
        <f>$B45*Prices!CT45</f>
        <v>14767.400564000001</v>
      </c>
      <c r="CU45" s="6">
        <f>$B45*Prices!CU45</f>
        <v>13687.340047000002</v>
      </c>
      <c r="CV45" s="6">
        <f>$B45*Prices!CV45</f>
        <v>13009.599435999999</v>
      </c>
      <c r="CW45" s="6">
        <f>$B45*Prices!CW45</f>
        <v>13578.770188</v>
      </c>
      <c r="CX45" s="6">
        <f>$B45*Prices!CX45</f>
        <v>15024.490610999999</v>
      </c>
      <c r="CY45" s="6">
        <f>$B45*Prices!CY45</f>
        <v>16465.509389000003</v>
      </c>
      <c r="CZ45" s="6">
        <f>$B45*Prices!CZ45</f>
        <v>16373.860235</v>
      </c>
      <c r="DA45" s="6">
        <f>$B45*Prices!DA45</f>
        <v>16395.950282000002</v>
      </c>
      <c r="DB45" s="6">
        <f>$B45*Prices!DB45</f>
        <v>15930.650564000001</v>
      </c>
      <c r="DC45" s="6"/>
      <c r="DD45" s="6"/>
      <c r="DE45" s="6"/>
      <c r="DF45" s="6"/>
      <c r="DG45" s="6"/>
      <c r="DH45" s="6"/>
      <c r="DI45" s="6"/>
      <c r="DJ45" s="6"/>
    </row>
    <row r="46" spans="1:114">
      <c r="A46" s="3" t="s">
        <v>43</v>
      </c>
      <c r="B46">
        <v>595</v>
      </c>
      <c r="C46" s="6">
        <f>$B46*Prices!C46</f>
        <v>11995.2</v>
      </c>
      <c r="D46" s="6">
        <f>$B46*Prices!D46</f>
        <v>12161.800000000001</v>
      </c>
      <c r="E46" s="6">
        <f>$B46*Prices!E46</f>
        <v>12370.05</v>
      </c>
      <c r="F46" s="6">
        <f>$B46*Prices!F46</f>
        <v>12429.550000000001</v>
      </c>
      <c r="G46" s="6">
        <f>$B46*Prices!G46</f>
        <v>11953.55</v>
      </c>
      <c r="H46" s="6">
        <f>$B46*Prices!H46</f>
        <v>11846.45</v>
      </c>
      <c r="I46" s="6">
        <f>$B46*Prices!I46</f>
        <v>12108.25</v>
      </c>
      <c r="J46" s="6">
        <f>$B46*Prices!J46</f>
        <v>12257</v>
      </c>
      <c r="K46" s="6">
        <f>$B46*Prices!K46</f>
        <v>12167.75</v>
      </c>
      <c r="L46" s="6">
        <f>$B46*Prices!L46</f>
        <v>12233.199999999999</v>
      </c>
      <c r="M46" s="6">
        <f>$B46*Prices!M46</f>
        <v>12221.3</v>
      </c>
      <c r="N46" s="6">
        <f>$B46*Prices!N46</f>
        <v>12316.5</v>
      </c>
      <c r="O46" s="6">
        <f>$B46*Prices!O46</f>
        <v>12173.7</v>
      </c>
      <c r="P46" s="6">
        <f>$B46*Prices!P46</f>
        <v>12096.349999999999</v>
      </c>
      <c r="Q46" s="6">
        <f>$B46*Prices!Q46</f>
        <v>11929.75</v>
      </c>
      <c r="R46" s="6">
        <f>$B46*Prices!R46</f>
        <v>11679.849999999999</v>
      </c>
      <c r="S46" s="6">
        <f>$B46*Prices!S46</f>
        <v>11721.5</v>
      </c>
      <c r="T46" s="6">
        <f>$B46*Prices!T46</f>
        <v>11971.400000000001</v>
      </c>
      <c r="U46" s="6">
        <f>$B46*Prices!U46</f>
        <v>11745.3</v>
      </c>
      <c r="V46" s="6">
        <f>$B46*Prices!V46</f>
        <v>11798.849999999999</v>
      </c>
      <c r="W46" s="6">
        <f>$B46*Prices!W46</f>
        <v>11632.25</v>
      </c>
      <c r="X46" s="6">
        <f>$B46*Prices!X46</f>
        <v>11584.65</v>
      </c>
      <c r="Y46" s="6">
        <f>$B46*Prices!Y46</f>
        <v>11602.5</v>
      </c>
      <c r="Z46" s="6">
        <f>$B46*Prices!Z46</f>
        <v>11584.65</v>
      </c>
      <c r="AA46" s="6">
        <f>$B46*Prices!AA46</f>
        <v>11733.4</v>
      </c>
      <c r="AB46" s="6">
        <f>$B46*Prices!AB46</f>
        <v>11995.2</v>
      </c>
      <c r="AC46" s="6">
        <f>$B46*Prices!AC46</f>
        <v>11894.05</v>
      </c>
      <c r="AD46" s="6">
        <f>$B46*Prices!AD46</f>
        <v>11745.3</v>
      </c>
      <c r="AE46" s="6">
        <f>$B46*Prices!AE46</f>
        <v>11679.849999999999</v>
      </c>
      <c r="AF46" s="6">
        <f>$B46*Prices!AF46</f>
        <v>11900</v>
      </c>
      <c r="AG46" s="6">
        <f>$B46*Prices!AG46</f>
        <v>11870.25</v>
      </c>
      <c r="AH46" s="6">
        <f>$B46*Prices!AH46</f>
        <v>11888.1</v>
      </c>
      <c r="AI46" s="6">
        <f>$B46*Prices!AI46</f>
        <v>11745.3</v>
      </c>
      <c r="AJ46" s="6">
        <f>$B46*Prices!AJ46</f>
        <v>11828.599999999999</v>
      </c>
      <c r="AK46" s="6">
        <f>$B46*Prices!AK46</f>
        <v>11953.55</v>
      </c>
      <c r="AL46" s="6">
        <f>$B46*Prices!AL46</f>
        <v>12370.05</v>
      </c>
      <c r="AM46" s="6">
        <f>$B46*Prices!AM46</f>
        <v>12001.150000000001</v>
      </c>
      <c r="AN46" s="6">
        <f>$B46*Prices!AN46</f>
        <v>11965.449999999999</v>
      </c>
      <c r="AO46" s="6">
        <f>$B46*Prices!AO46</f>
        <v>12066.6</v>
      </c>
      <c r="AP46" s="6">
        <f>$B46*Prices!AP46</f>
        <v>12013.050000000001</v>
      </c>
      <c r="AQ46" s="6">
        <f>$B46*Prices!AQ46</f>
        <v>11959.5</v>
      </c>
      <c r="AR46" s="6">
        <f>$B46*Prices!AR46</f>
        <v>12078.5</v>
      </c>
      <c r="AS46" s="6">
        <f>$B46*Prices!AS46</f>
        <v>11971.400000000001</v>
      </c>
      <c r="AT46" s="6">
        <f>$B46*Prices!AT46</f>
        <v>11947.599999999999</v>
      </c>
      <c r="AU46" s="6">
        <f>$B46*Prices!AU46</f>
        <v>12191.55</v>
      </c>
      <c r="AV46" s="6">
        <f>$B46*Prices!AV46</f>
        <v>12114.199999999999</v>
      </c>
      <c r="AW46" s="6">
        <f>$B46*Prices!AW46</f>
        <v>12102.3</v>
      </c>
      <c r="AX46" s="6">
        <f>$B46*Prices!AX46</f>
        <v>11953.55</v>
      </c>
      <c r="AY46" s="6">
        <f>$B46*Prices!AY46</f>
        <v>11888.1</v>
      </c>
      <c r="AZ46" s="6">
        <f>$B46*Prices!AZ46</f>
        <v>11816.699999999999</v>
      </c>
      <c r="BA46" s="6">
        <f>$B46*Prices!BA46</f>
        <v>12149.900000000001</v>
      </c>
      <c r="BB46" s="6">
        <f>$B46*Prices!BB46</f>
        <v>12798.45</v>
      </c>
      <c r="BC46" s="6">
        <f>$B46*Prices!BC46</f>
        <v>12953.15</v>
      </c>
      <c r="BD46" s="6">
        <f>$B46*Prices!BD46</f>
        <v>12798.45</v>
      </c>
      <c r="BE46" s="6">
        <f>$B46*Prices!BE46</f>
        <v>12625.9</v>
      </c>
      <c r="BF46" s="6">
        <f>$B46*Prices!BF46</f>
        <v>12625.9</v>
      </c>
      <c r="BG46" s="6">
        <f>$B46*Prices!BG46</f>
        <v>12715.150000000001</v>
      </c>
      <c r="BH46" s="6">
        <f>$B46*Prices!BH46</f>
        <v>12590.2</v>
      </c>
      <c r="BI46" s="6">
        <f>$B46*Prices!BI46</f>
        <v>12286.75</v>
      </c>
      <c r="BJ46" s="6">
        <f>$B46*Prices!BJ46</f>
        <v>12399.8</v>
      </c>
      <c r="BK46" s="6">
        <f>$B46*Prices!BK46</f>
        <v>12221.3</v>
      </c>
      <c r="BL46" s="6">
        <f>$B46*Prices!BL46</f>
        <v>12381.949999999999</v>
      </c>
      <c r="BM46" s="6">
        <f>$B46*Prices!BM46</f>
        <v>12138</v>
      </c>
      <c r="BN46" s="6">
        <f>$B46*Prices!BN46</f>
        <v>12262.949999999999</v>
      </c>
      <c r="BO46" s="6">
        <f>$B46*Prices!BO46</f>
        <v>12376</v>
      </c>
      <c r="BP46" s="6">
        <f>$B46*Prices!BP46</f>
        <v>12596.150000000001</v>
      </c>
      <c r="BQ46" s="6">
        <f>$B46*Prices!BQ46</f>
        <v>12614</v>
      </c>
      <c r="BR46" s="6">
        <f>$B46*Prices!BR46</f>
        <v>12667.55</v>
      </c>
      <c r="BS46" s="6">
        <f>$B46*Prices!BS46</f>
        <v>12614</v>
      </c>
      <c r="BT46" s="6">
        <f>$B46*Prices!BT46</f>
        <v>12750.85</v>
      </c>
      <c r="BU46" s="6">
        <f>$B46*Prices!BU46</f>
        <v>12971</v>
      </c>
      <c r="BV46" s="6">
        <f>$B46*Prices!BV46</f>
        <v>12852</v>
      </c>
      <c r="BW46" s="6">
        <f>$B46*Prices!BW46</f>
        <v>12727.050000000001</v>
      </c>
      <c r="BX46" s="6">
        <f>$B46*Prices!BX46</f>
        <v>12923.4</v>
      </c>
      <c r="BY46" s="6">
        <f>$B46*Prices!BY46</f>
        <v>12988.849999999999</v>
      </c>
      <c r="BZ46" s="6">
        <f>$B46*Prices!BZ46</f>
        <v>13238.75</v>
      </c>
      <c r="CA46" s="6">
        <f>$B46*Prices!CA46</f>
        <v>12956.379065000001</v>
      </c>
      <c r="CB46" s="6">
        <f>$B46*Prices!CB46</f>
        <v>12677.682850000001</v>
      </c>
      <c r="CC46" s="6">
        <f>$B46*Prices!CC46</f>
        <v>12108.432665</v>
      </c>
      <c r="CD46" s="6">
        <f>$B46*Prices!CD46</f>
        <v>12031.348034999999</v>
      </c>
      <c r="CE46" s="6">
        <f>$B46*Prices!CE46</f>
        <v>11017.36867</v>
      </c>
      <c r="CF46" s="6">
        <f>$B46*Prices!CF46</f>
        <v>10797.96956</v>
      </c>
      <c r="CG46" s="6">
        <f>$B46*Prices!CG46</f>
        <v>10744.604605</v>
      </c>
      <c r="CH46" s="6">
        <f>$B46*Prices!CH46</f>
        <v>10424.4</v>
      </c>
      <c r="CI46" s="6">
        <f>$B46*Prices!CI46</f>
        <v>10585.050595000001</v>
      </c>
      <c r="CJ46" s="6">
        <f>$B46*Prices!CJ46</f>
        <v>9906.75</v>
      </c>
      <c r="CK46" s="6">
        <f>$B46*Prices!CK46</f>
        <v>9734.2005950000002</v>
      </c>
      <c r="CL46" s="6">
        <f>$B46*Prices!CL46</f>
        <v>8496.6</v>
      </c>
      <c r="CM46" s="6">
        <f>$B46*Prices!CM46</f>
        <v>9549.7494050000005</v>
      </c>
      <c r="CN46" s="6">
        <f>$B46*Prices!CN46</f>
        <v>9174.9</v>
      </c>
      <c r="CO46" s="6">
        <f>$B46*Prices!CO46</f>
        <v>8115.8</v>
      </c>
      <c r="CP46" s="6">
        <f>$B46*Prices!CP46</f>
        <v>8954.75</v>
      </c>
      <c r="CQ46" s="6">
        <f>$B46*Prices!CQ46</f>
        <v>8722.7000000000007</v>
      </c>
      <c r="CR46" s="6">
        <f>$B46*Prices!CR46</f>
        <v>9650.8994050000001</v>
      </c>
      <c r="CS46" s="6">
        <f>$B46*Prices!CS46</f>
        <v>9567.5999999999985</v>
      </c>
      <c r="CT46" s="6">
        <f>$B46*Prices!CT46</f>
        <v>9008.3000000000011</v>
      </c>
      <c r="CU46" s="6">
        <f>$B46*Prices!CU46</f>
        <v>8103.9</v>
      </c>
      <c r="CV46" s="6">
        <f>$B46*Prices!CV46</f>
        <v>7104.2999999999993</v>
      </c>
      <c r="CW46" s="6">
        <f>$B46*Prices!CW46</f>
        <v>7901.5999999999995</v>
      </c>
      <c r="CX46" s="6">
        <f>$B46*Prices!CX46</f>
        <v>8103.9</v>
      </c>
      <c r="CY46" s="6">
        <f>$B46*Prices!CY46</f>
        <v>8216.9500000000007</v>
      </c>
      <c r="CZ46" s="6">
        <f>$B46*Prices!CZ46</f>
        <v>7735</v>
      </c>
      <c r="DA46" s="6">
        <f>$B46*Prices!DA46</f>
        <v>7788.55</v>
      </c>
      <c r="DB46" s="6">
        <f>$B46*Prices!DB46</f>
        <v>7461.2999999999993</v>
      </c>
      <c r="DC46" s="6"/>
      <c r="DD46" s="6"/>
      <c r="DE46" s="6"/>
      <c r="DF46" s="6"/>
      <c r="DG46" s="6"/>
      <c r="DH46" s="6"/>
      <c r="DI46" s="6"/>
      <c r="DJ46" s="6"/>
    </row>
    <row r="47" spans="1:114">
      <c r="A47" s="2" t="s">
        <v>44</v>
      </c>
      <c r="C47" s="6">
        <f>SUM(C48:C51)</f>
        <v>59988.030000000006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>
        <f>SUM(BM48:BM51)</f>
        <v>62743.99</v>
      </c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>
        <f>SUM(BZ48:BZ51)</f>
        <v>65712.780000000013</v>
      </c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</row>
    <row r="48" spans="1:114">
      <c r="A48" s="3" t="s">
        <v>45</v>
      </c>
      <c r="B48">
        <v>1037</v>
      </c>
      <c r="C48" s="6">
        <f>$B48*Prices!C48</f>
        <v>18002.32</v>
      </c>
      <c r="D48" s="6">
        <f>$B48*Prices!D48</f>
        <v>17639.370000000003</v>
      </c>
      <c r="E48" s="6">
        <f>$B48*Prices!E48</f>
        <v>17255.68</v>
      </c>
      <c r="F48" s="6">
        <f>$B48*Prices!F48</f>
        <v>17151.98</v>
      </c>
      <c r="G48" s="6">
        <f>$B48*Prices!G48</f>
        <v>17525.3</v>
      </c>
      <c r="H48" s="6">
        <f>$B48*Prices!H48</f>
        <v>16965.32</v>
      </c>
      <c r="I48" s="6">
        <f>$B48*Prices!I48</f>
        <v>16975.690000000002</v>
      </c>
      <c r="J48" s="6">
        <f>$B48*Prices!J48</f>
        <v>16986.059999999998</v>
      </c>
      <c r="K48" s="6">
        <f>$B48*Prices!K48</f>
        <v>17048.280000000002</v>
      </c>
      <c r="L48" s="6">
        <f>$B48*Prices!L48</f>
        <v>17276.420000000002</v>
      </c>
      <c r="M48" s="6">
        <f>$B48*Prices!M48</f>
        <v>17276.420000000002</v>
      </c>
      <c r="N48" s="6">
        <f>$B48*Prices!N48</f>
        <v>17183.09</v>
      </c>
      <c r="O48" s="6">
        <f>$B48*Prices!O48</f>
        <v>17514.93</v>
      </c>
      <c r="P48" s="6">
        <f>$B48*Prices!P48</f>
        <v>17680.850000000002</v>
      </c>
      <c r="Q48" s="6">
        <f>$B48*Prices!Q48</f>
        <v>17618.629999999997</v>
      </c>
      <c r="R48" s="6">
        <f>$B48*Prices!R48</f>
        <v>17255.68</v>
      </c>
      <c r="S48" s="6">
        <f>$B48*Prices!S48</f>
        <v>17100.129999999997</v>
      </c>
      <c r="T48" s="6">
        <f>$B48*Prices!T48</f>
        <v>17037.91</v>
      </c>
      <c r="U48" s="6">
        <f>$B48*Prices!U48</f>
        <v>17483.82</v>
      </c>
      <c r="V48" s="6">
        <f>$B48*Prices!V48</f>
        <v>17317.899999999998</v>
      </c>
      <c r="W48" s="6">
        <f>$B48*Prices!W48</f>
        <v>17421.600000000002</v>
      </c>
      <c r="X48" s="6">
        <f>$B48*Prices!X48</f>
        <v>17514.93</v>
      </c>
      <c r="Y48" s="6">
        <f>$B48*Prices!Y48</f>
        <v>17919.36</v>
      </c>
      <c r="Z48" s="6">
        <f>$B48*Prices!Z48</f>
        <v>17660.11</v>
      </c>
      <c r="AA48" s="6">
        <f>$B48*Prices!AA48</f>
        <v>17794.920000000002</v>
      </c>
      <c r="AB48" s="6">
        <f>$B48*Prices!AB48</f>
        <v>17514.93</v>
      </c>
      <c r="AC48" s="6">
        <f>$B48*Prices!AC48</f>
        <v>17473.45</v>
      </c>
      <c r="AD48" s="6">
        <f>$B48*Prices!AD48</f>
        <v>17774.18</v>
      </c>
      <c r="AE48" s="6">
        <f>$B48*Prices!AE48</f>
        <v>18271.940000000002</v>
      </c>
      <c r="AF48" s="6">
        <f>$B48*Prices!AF48</f>
        <v>18209.719999999998</v>
      </c>
      <c r="AG48" s="6">
        <f>$B48*Prices!AG48</f>
        <v>18230.46</v>
      </c>
      <c r="AH48" s="6">
        <f>$B48*Prices!AH48</f>
        <v>18064.54</v>
      </c>
      <c r="AI48" s="6">
        <f>$B48*Prices!AI48</f>
        <v>18033.43</v>
      </c>
      <c r="AJ48" s="6">
        <f>$B48*Prices!AJ48</f>
        <v>18593.41</v>
      </c>
      <c r="AK48" s="6">
        <f>$B48*Prices!AK48</f>
        <v>18365.27</v>
      </c>
      <c r="AL48" s="6">
        <f>$B48*Prices!AL48</f>
        <v>18095.649999999998</v>
      </c>
      <c r="AM48" s="6">
        <f>$B48*Prices!AM48</f>
        <v>18417.120000000003</v>
      </c>
      <c r="AN48" s="6">
        <f>$B48*Prices!AN48</f>
        <v>18987.469999999998</v>
      </c>
      <c r="AO48" s="6">
        <f>$B48*Prices!AO48</f>
        <v>19039.32</v>
      </c>
      <c r="AP48" s="6">
        <f>$B48*Prices!AP48</f>
        <v>19049.690000000002</v>
      </c>
      <c r="AQ48" s="6">
        <f>$B48*Prices!AQ48</f>
        <v>19298.57</v>
      </c>
      <c r="AR48" s="6">
        <f>$B48*Prices!AR48</f>
        <v>19277.829999999998</v>
      </c>
      <c r="AS48" s="6">
        <f>$B48*Prices!AS48</f>
        <v>19174.129999999997</v>
      </c>
      <c r="AT48" s="6">
        <f>$B48*Prices!AT48</f>
        <v>19257.09</v>
      </c>
      <c r="AU48" s="6">
        <f>$B48*Prices!AU48</f>
        <v>19070.43</v>
      </c>
      <c r="AV48" s="6">
        <f>$B48*Prices!AV48</f>
        <v>19153.39</v>
      </c>
      <c r="AW48" s="6">
        <f>$B48*Prices!AW48</f>
        <v>18479.34</v>
      </c>
      <c r="AX48" s="6">
        <f>$B48*Prices!AX48</f>
        <v>18251.2</v>
      </c>
      <c r="AY48" s="6">
        <f>$B48*Prices!AY48</f>
        <v>18510.45</v>
      </c>
      <c r="AZ48" s="6">
        <f>$B48*Prices!AZ48</f>
        <v>18095.649999999998</v>
      </c>
      <c r="BA48" s="6">
        <f>$B48*Prices!BA48</f>
        <v>18209.719999999998</v>
      </c>
      <c r="BB48" s="6">
        <f>$B48*Prices!BB48</f>
        <v>18562.3</v>
      </c>
      <c r="BC48" s="6">
        <f>$B48*Prices!BC48</f>
        <v>18759.329999999998</v>
      </c>
      <c r="BD48" s="6">
        <f>$B48*Prices!BD48</f>
        <v>18614.149999999998</v>
      </c>
      <c r="BE48" s="6">
        <f>$B48*Prices!BE48</f>
        <v>19028.95</v>
      </c>
      <c r="BF48" s="6">
        <f>$B48*Prices!BF48</f>
        <v>18966.73</v>
      </c>
      <c r="BG48" s="6">
        <f>$B48*Prices!BG48</f>
        <v>19111.91</v>
      </c>
      <c r="BH48" s="6">
        <f>$B48*Prices!BH48</f>
        <v>19402.27</v>
      </c>
      <c r="BI48" s="6">
        <f>$B48*Prices!BI48</f>
        <v>19308.940000000002</v>
      </c>
      <c r="BJ48" s="6">
        <f>$B48*Prices!BJ48</f>
        <v>18666</v>
      </c>
      <c r="BK48" s="6">
        <f>$B48*Prices!BK48</f>
        <v>19049.690000000002</v>
      </c>
      <c r="BL48" s="6">
        <f>$B48*Prices!BL48</f>
        <v>19122.280000000002</v>
      </c>
      <c r="BM48" s="6">
        <f>$B48*Prices!BM48</f>
        <v>19205.239999999998</v>
      </c>
      <c r="BN48" s="6">
        <f>$B48*Prices!BN48</f>
        <v>18956.36</v>
      </c>
      <c r="BO48" s="6">
        <f>$B48*Prices!BO48</f>
        <v>18686.739999999998</v>
      </c>
      <c r="BP48" s="6">
        <f>$B48*Prices!BP48</f>
        <v>18686.739999999998</v>
      </c>
      <c r="BQ48" s="6">
        <f>$B48*Prices!BQ48</f>
        <v>19028.95</v>
      </c>
      <c r="BR48" s="6">
        <f>$B48*Prices!BR48</f>
        <v>18863.030000000002</v>
      </c>
      <c r="BS48" s="6">
        <f>$B48*Prices!BS48</f>
        <v>19111.91</v>
      </c>
      <c r="BT48" s="6">
        <f>$B48*Prices!BT48</f>
        <v>19122.280000000002</v>
      </c>
      <c r="BU48" s="6">
        <f>$B48*Prices!BU48</f>
        <v>19091.170000000002</v>
      </c>
      <c r="BV48" s="6">
        <f>$B48*Prices!BV48</f>
        <v>19630.41</v>
      </c>
      <c r="BW48" s="6">
        <f>$B48*Prices!BW48</f>
        <v>20449.64</v>
      </c>
      <c r="BX48" s="6">
        <f>$B48*Prices!BX48</f>
        <v>21341.46</v>
      </c>
      <c r="BY48" s="6">
        <f>$B48*Prices!BY48</f>
        <v>21777</v>
      </c>
      <c r="BZ48" s="6">
        <f>$B48*Prices!BZ48</f>
        <v>21538.489999999998</v>
      </c>
      <c r="CA48" s="6">
        <f>$B48*Prices!CA48</f>
        <v>22159.486043000001</v>
      </c>
      <c r="CB48" s="6">
        <f>$B48*Prices!CB48</f>
        <v>22769.285596999998</v>
      </c>
      <c r="CC48" s="6">
        <f>$B48*Prices!CC48</f>
        <v>21963.110389999998</v>
      </c>
      <c r="CD48" s="6">
        <f>$B48*Prices!CD48</f>
        <v>21797.739999999998</v>
      </c>
      <c r="CE48" s="6">
        <f>$B48*Prices!CE48</f>
        <v>20511.861036999999</v>
      </c>
      <c r="CF48" s="6">
        <f>$B48*Prices!CF48</f>
        <v>19744.481037000001</v>
      </c>
      <c r="CG48" s="6">
        <f>$B48*Prices!CG48</f>
        <v>20594.821037000002</v>
      </c>
      <c r="CH48" s="6">
        <f>$B48*Prices!CH48</f>
        <v>21382.941036999997</v>
      </c>
      <c r="CI48" s="6">
        <f>$B48*Prices!CI48</f>
        <v>21310.348963</v>
      </c>
      <c r="CJ48" s="6">
        <f>$B48*Prices!CJ48</f>
        <v>21942.920000000002</v>
      </c>
      <c r="CK48" s="6">
        <f>$B48*Prices!CK48</f>
        <v>22015.510000000002</v>
      </c>
      <c r="CL48" s="6">
        <f>$B48*Prices!CL48</f>
        <v>20667.41</v>
      </c>
      <c r="CM48" s="6">
        <f>$B48*Prices!CM48</f>
        <v>20605.191036999997</v>
      </c>
      <c r="CN48" s="6">
        <f>$B48*Prices!CN48</f>
        <v>19485.231037000001</v>
      </c>
      <c r="CO48" s="6">
        <f>$B48*Prices!CO48</f>
        <v>17504.558963000003</v>
      </c>
      <c r="CP48" s="6">
        <f>$B48*Prices!CP48</f>
        <v>16249.789999999999</v>
      </c>
      <c r="CQ48" s="6">
        <f>$B48*Prices!CQ48</f>
        <v>16934.21</v>
      </c>
      <c r="CR48" s="6">
        <f>$B48*Prices!CR48</f>
        <v>18365.268962999999</v>
      </c>
      <c r="CS48" s="6">
        <f>$B48*Prices!CS48</f>
        <v>16467.560000000001</v>
      </c>
      <c r="CT48" s="6">
        <f>$B48*Prices!CT48</f>
        <v>16674.96</v>
      </c>
      <c r="CU48" s="6">
        <f>$B48*Prices!CU48</f>
        <v>16467.560000000001</v>
      </c>
      <c r="CV48" s="6">
        <f>$B48*Prices!CV48</f>
        <v>17556.41</v>
      </c>
      <c r="CW48" s="6">
        <f>$B48*Prices!CW48</f>
        <v>20221.5</v>
      </c>
      <c r="CX48" s="6">
        <f>$B48*Prices!CX48</f>
        <v>19817.071037000002</v>
      </c>
      <c r="CY48" s="6">
        <f>$B48*Prices!CY48</f>
        <v>20304.46</v>
      </c>
      <c r="CZ48" s="6">
        <f>$B48*Prices!CZ48</f>
        <v>19951.879999999997</v>
      </c>
      <c r="DA48" s="6">
        <f>$B48*Prices!DA48</f>
        <v>20003.731037000001</v>
      </c>
      <c r="DB48" s="6">
        <f>$B48*Prices!DB48</f>
        <v>18997.84</v>
      </c>
      <c r="DC48" s="6"/>
      <c r="DD48" s="6"/>
      <c r="DE48" s="6"/>
      <c r="DF48" s="6"/>
      <c r="DG48" s="6"/>
      <c r="DH48" s="6"/>
      <c r="DI48" s="6"/>
      <c r="DJ48" s="6"/>
    </row>
    <row r="49" spans="1:114">
      <c r="A49" s="3" t="s">
        <v>46</v>
      </c>
      <c r="B49">
        <v>131</v>
      </c>
      <c r="C49" s="6">
        <f>$B49*Prices!C49</f>
        <v>11968.16</v>
      </c>
      <c r="D49" s="6">
        <f>$B49*Prices!D49</f>
        <v>12045.45</v>
      </c>
      <c r="E49" s="6">
        <f>$B49*Prices!E49</f>
        <v>12029.73</v>
      </c>
      <c r="F49" s="6">
        <f>$B49*Prices!F49</f>
        <v>12076.89</v>
      </c>
      <c r="G49" s="6">
        <f>$B49*Prices!G49</f>
        <v>13140.61</v>
      </c>
      <c r="H49" s="6">
        <f>$B49*Prices!H49</f>
        <v>13100</v>
      </c>
      <c r="I49" s="6">
        <f>$B49*Prices!I49</f>
        <v>13086.900000000001</v>
      </c>
      <c r="J49" s="6">
        <f>$B49*Prices!J49</f>
        <v>13077.73</v>
      </c>
      <c r="K49" s="6">
        <f>$B49*Prices!K49</f>
        <v>13077.73</v>
      </c>
      <c r="L49" s="6">
        <f>$B49*Prices!L49</f>
        <v>12849.79</v>
      </c>
      <c r="M49" s="6">
        <f>$B49*Prices!M49</f>
        <v>12649.36</v>
      </c>
      <c r="N49" s="6">
        <f>$B49*Prices!N49</f>
        <v>12539.32</v>
      </c>
      <c r="O49" s="6">
        <f>$B49*Prices!O49</f>
        <v>12628.400000000001</v>
      </c>
      <c r="P49" s="6">
        <f>$B49*Prices!P49</f>
        <v>12751.54</v>
      </c>
      <c r="Q49" s="6">
        <f>$B49*Prices!Q49</f>
        <v>12489.54</v>
      </c>
      <c r="R49" s="6">
        <f>$B49*Prices!R49</f>
        <v>12502.64</v>
      </c>
      <c r="S49" s="6">
        <f>$B49*Prices!S49</f>
        <v>12447.619999999999</v>
      </c>
      <c r="T49" s="6">
        <f>$B49*Prices!T49</f>
        <v>12737.130000000001</v>
      </c>
      <c r="U49" s="6">
        <f>$B49*Prices!U49</f>
        <v>12908.740000000002</v>
      </c>
      <c r="V49" s="6">
        <f>$B49*Prices!V49</f>
        <v>12969</v>
      </c>
      <c r="W49" s="6">
        <f>$B49*Prices!W49</f>
        <v>12890.400000000001</v>
      </c>
      <c r="X49" s="6">
        <f>$B49*Prices!X49</f>
        <v>12894.330000000002</v>
      </c>
      <c r="Y49" s="6">
        <f>$B49*Prices!Y49</f>
        <v>12776.43</v>
      </c>
      <c r="Z49" s="6">
        <f>$B49*Prices!Z49</f>
        <v>12906.119999999999</v>
      </c>
      <c r="AA49" s="6">
        <f>$B49*Prices!AA49</f>
        <v>13101.310000000001</v>
      </c>
      <c r="AB49" s="6">
        <f>$B49*Prices!AB49</f>
        <v>13003.060000000001</v>
      </c>
      <c r="AC49" s="6">
        <f>$B49*Prices!AC49</f>
        <v>13081.66</v>
      </c>
      <c r="AD49" s="6">
        <f>$B49*Prices!AD49</f>
        <v>12971.619999999999</v>
      </c>
      <c r="AE49" s="6">
        <f>$B49*Prices!AE49</f>
        <v>12940.18</v>
      </c>
      <c r="AF49" s="6">
        <f>$B49*Prices!AF49</f>
        <v>13183.84</v>
      </c>
      <c r="AG49" s="6">
        <f>$B49*Prices!AG49</f>
        <v>13076.419999999998</v>
      </c>
      <c r="AH49" s="6">
        <f>$B49*Prices!AH49</f>
        <v>13160.259999999998</v>
      </c>
      <c r="AI49" s="6">
        <f>$B49*Prices!AI49</f>
        <v>13151.09</v>
      </c>
      <c r="AJ49" s="6">
        <f>$B49*Prices!AJ49</f>
        <v>13224.45</v>
      </c>
      <c r="AK49" s="6">
        <f>$B49*Prices!AK49</f>
        <v>13261.130000000001</v>
      </c>
      <c r="AL49" s="6">
        <f>$B49*Prices!AL49</f>
        <v>13414.400000000001</v>
      </c>
      <c r="AM49" s="6">
        <f>$B49*Prices!AM49</f>
        <v>13504.79</v>
      </c>
      <c r="AN49" s="6">
        <f>$B49*Prices!AN49</f>
        <v>13567.669999999998</v>
      </c>
      <c r="AO49" s="6">
        <f>$B49*Prices!AO49</f>
        <v>13612.21</v>
      </c>
      <c r="AP49" s="6">
        <f>$B49*Prices!AP49</f>
        <v>13551.95</v>
      </c>
      <c r="AQ49" s="6">
        <f>$B49*Prices!AQ49</f>
        <v>13530.990000000002</v>
      </c>
      <c r="AR49" s="6">
        <f>$B49*Prices!AR49</f>
        <v>13550.64</v>
      </c>
      <c r="AS49" s="6">
        <f>$B49*Prices!AS49</f>
        <v>13576.84</v>
      </c>
      <c r="AT49" s="6">
        <f>$B49*Prices!AT49</f>
        <v>13485.14</v>
      </c>
      <c r="AU49" s="6">
        <f>$B49*Prices!AU49</f>
        <v>13417.02</v>
      </c>
      <c r="AV49" s="6">
        <f>$B49*Prices!AV49</f>
        <v>13333.18</v>
      </c>
      <c r="AW49" s="6">
        <f>$B49*Prices!AW49</f>
        <v>13396.060000000001</v>
      </c>
      <c r="AX49" s="6">
        <f>$B49*Prices!AX49</f>
        <v>13367.240000000002</v>
      </c>
      <c r="AY49" s="6">
        <f>$B49*Prices!AY49</f>
        <v>13339.73</v>
      </c>
      <c r="AZ49" s="6">
        <f>$B49*Prices!AZ49</f>
        <v>13487.759999999998</v>
      </c>
      <c r="BA49" s="6">
        <f>$B49*Prices!BA49</f>
        <v>13634.48</v>
      </c>
      <c r="BB49" s="6">
        <f>$B49*Prices!BB49</f>
        <v>13732.73</v>
      </c>
      <c r="BC49" s="6">
        <f>$B49*Prices!BC49</f>
        <v>13751.07</v>
      </c>
      <c r="BD49" s="6">
        <f>$B49*Prices!BD49</f>
        <v>13896.48</v>
      </c>
      <c r="BE49" s="6">
        <f>$B49*Prices!BE49</f>
        <v>13906.96</v>
      </c>
      <c r="BF49" s="6">
        <f>$B49*Prices!BF49</f>
        <v>13989.490000000002</v>
      </c>
      <c r="BG49" s="6">
        <f>$B49*Prices!BG49</f>
        <v>14037.96</v>
      </c>
      <c r="BH49" s="6">
        <f>$B49*Prices!BH49</f>
        <v>13944.95</v>
      </c>
      <c r="BI49" s="6">
        <f>$B49*Prices!BI49</f>
        <v>13779.89</v>
      </c>
      <c r="BJ49" s="6">
        <f>$B49*Prices!BJ49</f>
        <v>13889.93</v>
      </c>
      <c r="BK49" s="6">
        <f>$B49*Prices!BK49</f>
        <v>13629.240000000002</v>
      </c>
      <c r="BL49" s="6">
        <f>$B49*Prices!BL49</f>
        <v>13696.05</v>
      </c>
      <c r="BM49" s="6">
        <f>$B49*Prices!BM49</f>
        <v>13195.630000000001</v>
      </c>
      <c r="BN49" s="6">
        <f>$B49*Prices!BN49</f>
        <v>13388.2</v>
      </c>
      <c r="BO49" s="6">
        <f>$B49*Prices!BO49</f>
        <v>13755</v>
      </c>
      <c r="BP49" s="6">
        <f>$B49*Prices!BP49</f>
        <v>13942.330000000002</v>
      </c>
      <c r="BQ49" s="6">
        <f>$B49*Prices!BQ49</f>
        <v>13601.73</v>
      </c>
      <c r="BR49" s="6">
        <f>$B49*Prices!BR49</f>
        <v>13444.529999999999</v>
      </c>
      <c r="BS49" s="6">
        <f>$B49*Prices!BS49</f>
        <v>13542.779999999999</v>
      </c>
      <c r="BT49" s="6">
        <f>$B49*Prices!BT49</f>
        <v>13621.380000000001</v>
      </c>
      <c r="BU49" s="6">
        <f>$B49*Prices!BU49</f>
        <v>13713.080000000002</v>
      </c>
      <c r="BV49" s="6">
        <f>$B49*Prices!BV49</f>
        <v>13720.939999999999</v>
      </c>
      <c r="BW49" s="6">
        <f>$B49*Prices!BW49</f>
        <v>13681.64</v>
      </c>
      <c r="BX49" s="6">
        <f>$B49*Prices!BX49</f>
        <v>13565.05</v>
      </c>
      <c r="BY49" s="6">
        <f>$B49*Prices!BY49</f>
        <v>13656.75</v>
      </c>
      <c r="BZ49" s="6">
        <f>$B49*Prices!BZ49</f>
        <v>13428.810000000001</v>
      </c>
      <c r="CA49" s="6">
        <f>$B49*Prices!CA49</f>
        <v>12536.699606999999</v>
      </c>
      <c r="CB49" s="6">
        <f>$B49*Prices!CB49</f>
        <v>11915.759869</v>
      </c>
      <c r="CC49" s="6">
        <f>$B49*Prices!CC49</f>
        <v>11499.179869</v>
      </c>
      <c r="CD49" s="6">
        <f>$B49*Prices!CD49</f>
        <v>11509.660130999999</v>
      </c>
      <c r="CE49" s="6">
        <f>$B49*Prices!CE49</f>
        <v>11031.509869</v>
      </c>
      <c r="CF49" s="6">
        <f>$B49*Prices!CF49</f>
        <v>11336.740131</v>
      </c>
      <c r="CG49" s="6">
        <f>$B49*Prices!CG49</f>
        <v>11659</v>
      </c>
      <c r="CH49" s="6">
        <f>$B49*Prices!CH49</f>
        <v>11479.529607</v>
      </c>
      <c r="CI49" s="6">
        <f>$B49*Prices!CI49</f>
        <v>11673.410130999999</v>
      </c>
      <c r="CJ49" s="6">
        <f>$B49*Prices!CJ49</f>
        <v>10884.789476</v>
      </c>
      <c r="CK49" s="6">
        <f>$B49*Prices!CK49</f>
        <v>11006.619607000001</v>
      </c>
      <c r="CL49" s="6">
        <f>$B49*Prices!CL49</f>
        <v>9122.8398690000013</v>
      </c>
      <c r="CM49" s="6">
        <f>$B49*Prices!CM49</f>
        <v>10118.439737999999</v>
      </c>
      <c r="CN49" s="6">
        <f>$B49*Prices!CN49</f>
        <v>9493.5701310000004</v>
      </c>
      <c r="CO49" s="6">
        <f>$B49*Prices!CO49</f>
        <v>8573.9496069999987</v>
      </c>
      <c r="CP49" s="6">
        <f>$B49*Prices!CP49</f>
        <v>9162.1402620000008</v>
      </c>
      <c r="CQ49" s="6">
        <f>$B49*Prices!CQ49</f>
        <v>8125.9298689999996</v>
      </c>
      <c r="CR49" s="6">
        <f>$B49*Prices!CR49</f>
        <v>9658.6303929999995</v>
      </c>
      <c r="CS49" s="6">
        <f>$B49*Prices!CS49</f>
        <v>8385.3102620000009</v>
      </c>
      <c r="CT49" s="6">
        <f>$B49*Prices!CT49</f>
        <v>8528.0997380000008</v>
      </c>
      <c r="CU49" s="6">
        <f>$B49*Prices!CU49</f>
        <v>8039.4698689999996</v>
      </c>
      <c r="CV49" s="6">
        <f>$B49*Prices!CV49</f>
        <v>8390.5503930000013</v>
      </c>
      <c r="CW49" s="6">
        <f>$B49*Prices!CW49</f>
        <v>9014.1097379999992</v>
      </c>
      <c r="CX49" s="6">
        <f>$B49*Prices!CX49</f>
        <v>8761.2796070000004</v>
      </c>
      <c r="CY49" s="6">
        <f>$B49*Prices!CY49</f>
        <v>9608.8497380000008</v>
      </c>
      <c r="CZ49" s="6">
        <f>$B49*Prices!CZ49</f>
        <v>8719.3597379999992</v>
      </c>
      <c r="DA49" s="6">
        <f>$B49*Prices!DA49</f>
        <v>9024.5898690000013</v>
      </c>
      <c r="DB49" s="6">
        <f>$B49*Prices!DB49</f>
        <v>9103.1897379999991</v>
      </c>
      <c r="DC49" s="6"/>
      <c r="DD49" s="6"/>
      <c r="DE49" s="6"/>
      <c r="DF49" s="6"/>
      <c r="DG49" s="6"/>
      <c r="DH49" s="6"/>
      <c r="DI49" s="6"/>
      <c r="DJ49" s="6"/>
    </row>
    <row r="50" spans="1:114">
      <c r="A50" s="3" t="s">
        <v>47</v>
      </c>
      <c r="B50">
        <v>69</v>
      </c>
      <c r="C50" s="6">
        <f>$B50*Prices!C50</f>
        <v>18071.79</v>
      </c>
      <c r="D50" s="6">
        <f>$B50*Prices!D50</f>
        <v>18171.150000000001</v>
      </c>
      <c r="E50" s="6">
        <f>$B50*Prices!E50</f>
        <v>17999.34</v>
      </c>
      <c r="F50" s="6">
        <f>$B50*Prices!F50</f>
        <v>17477.7</v>
      </c>
      <c r="G50" s="6">
        <f>$B50*Prices!G50</f>
        <v>17705.400000000001</v>
      </c>
      <c r="H50" s="6">
        <f>$B50*Prices!H50</f>
        <v>17770.95</v>
      </c>
      <c r="I50" s="6">
        <f>$B50*Prices!I50</f>
        <v>17726.099999999999</v>
      </c>
      <c r="J50" s="6">
        <f>$B50*Prices!J50</f>
        <v>17665.379999999997</v>
      </c>
      <c r="K50" s="6">
        <f>$B50*Prices!K50</f>
        <v>17611.560000000001</v>
      </c>
      <c r="L50" s="6">
        <f>$B50*Prices!L50</f>
        <v>17759.91</v>
      </c>
      <c r="M50" s="6">
        <f>$B50*Prices!M50</f>
        <v>18039.36</v>
      </c>
      <c r="N50" s="6">
        <f>$B50*Prices!N50</f>
        <v>17969.670000000002</v>
      </c>
      <c r="O50" s="6">
        <f>$B50*Prices!O50</f>
        <v>17988.3</v>
      </c>
      <c r="P50" s="6">
        <f>$B50*Prices!P50</f>
        <v>18054.54</v>
      </c>
      <c r="Q50" s="6">
        <f>$B50*Prices!Q50</f>
        <v>18152.52</v>
      </c>
      <c r="R50" s="6">
        <f>$B50*Prices!R50</f>
        <v>17973.120000000003</v>
      </c>
      <c r="S50" s="6">
        <f>$B50*Prices!S50</f>
        <v>17893.77</v>
      </c>
      <c r="T50" s="6">
        <f>$B50*Prices!T50</f>
        <v>18060.75</v>
      </c>
      <c r="U50" s="6">
        <f>$B50*Prices!U50</f>
        <v>18565.14</v>
      </c>
      <c r="V50" s="6">
        <f>$B50*Prices!V50</f>
        <v>18760.41</v>
      </c>
      <c r="W50" s="6">
        <f>$B50*Prices!W50</f>
        <v>18519.599999999999</v>
      </c>
      <c r="X50" s="6">
        <f>$B50*Prices!X50</f>
        <v>18492.689999999999</v>
      </c>
      <c r="Y50" s="6">
        <f>$B50*Prices!Y50</f>
        <v>18674.849999999999</v>
      </c>
      <c r="Z50" s="6">
        <f>$B50*Prices!Z50</f>
        <v>18597.57</v>
      </c>
      <c r="AA50" s="6">
        <f>$B50*Prices!AA50</f>
        <v>18815.61</v>
      </c>
      <c r="AB50" s="6">
        <f>$B50*Prices!AB50</f>
        <v>18859.079999999998</v>
      </c>
      <c r="AC50" s="6">
        <f>$B50*Prices!AC50</f>
        <v>18687.96</v>
      </c>
      <c r="AD50" s="6">
        <f>$B50*Prices!AD50</f>
        <v>18549.96</v>
      </c>
      <c r="AE50" s="6">
        <f>$B50*Prices!AE50</f>
        <v>18783.870000000003</v>
      </c>
      <c r="AF50" s="6">
        <f>$B50*Prices!AF50</f>
        <v>18977.07</v>
      </c>
      <c r="AG50" s="6">
        <f>$B50*Prices!AG50</f>
        <v>19064.7</v>
      </c>
      <c r="AH50" s="6">
        <f>$B50*Prices!AH50</f>
        <v>18946.71</v>
      </c>
      <c r="AI50" s="6">
        <f>$B50*Prices!AI50</f>
        <v>18921.18</v>
      </c>
      <c r="AJ50" s="6">
        <f>$B50*Prices!AJ50</f>
        <v>18943.260000000002</v>
      </c>
      <c r="AK50" s="6">
        <f>$B50*Prices!AK50</f>
        <v>18834.239999999998</v>
      </c>
      <c r="AL50" s="6">
        <f>$B50*Prices!AL50</f>
        <v>18853.560000000001</v>
      </c>
      <c r="AM50" s="6">
        <f>$B50*Prices!AM50</f>
        <v>18705.900000000001</v>
      </c>
      <c r="AN50" s="6">
        <f>$B50*Prices!AN50</f>
        <v>18943.260000000002</v>
      </c>
      <c r="AO50" s="6">
        <f>$B50*Prices!AO50</f>
        <v>19229.61</v>
      </c>
      <c r="AP50" s="6">
        <f>$B50*Prices!AP50</f>
        <v>19230.989999999998</v>
      </c>
      <c r="AQ50" s="6">
        <f>$B50*Prices!AQ50</f>
        <v>19178.55</v>
      </c>
      <c r="AR50" s="6">
        <f>$B50*Prices!AR50</f>
        <v>19295.16</v>
      </c>
      <c r="AS50" s="6">
        <f>$B50*Prices!AS50</f>
        <v>19086.09</v>
      </c>
      <c r="AT50" s="6">
        <f>$B50*Prices!AT50</f>
        <v>19029.510000000002</v>
      </c>
      <c r="AU50" s="6">
        <f>$B50*Prices!AU50</f>
        <v>19088.16</v>
      </c>
      <c r="AV50" s="6">
        <f>$B50*Prices!AV50</f>
        <v>19045.379999999997</v>
      </c>
      <c r="AW50" s="6">
        <f>$B50*Prices!AW50</f>
        <v>19110.239999999998</v>
      </c>
      <c r="AX50" s="6">
        <f>$B50*Prices!AX50</f>
        <v>19155.09</v>
      </c>
      <c r="AY50" s="6">
        <f>$B50*Prices!AY50</f>
        <v>19104.03</v>
      </c>
      <c r="AZ50" s="6">
        <f>$B50*Prices!AZ50</f>
        <v>18778.349999999999</v>
      </c>
      <c r="BA50" s="6">
        <f>$B50*Prices!BA50</f>
        <v>17991.75</v>
      </c>
      <c r="BB50" s="6">
        <f>$B50*Prices!BB50</f>
        <v>18091.11</v>
      </c>
      <c r="BC50" s="6">
        <f>$B50*Prices!BC50</f>
        <v>18147.689999999999</v>
      </c>
      <c r="BD50" s="6">
        <f>$B50*Prices!BD50</f>
        <v>18405.060000000001</v>
      </c>
      <c r="BE50" s="6">
        <f>$B50*Prices!BE50</f>
        <v>18475.439999999999</v>
      </c>
      <c r="BF50" s="6">
        <f>$B50*Prices!BF50</f>
        <v>18300.870000000003</v>
      </c>
      <c r="BG50" s="6">
        <f>$B50*Prices!BG50</f>
        <v>18483.03</v>
      </c>
      <c r="BH50" s="6">
        <f>$B50*Prices!BH50</f>
        <v>18208.41</v>
      </c>
      <c r="BI50" s="6">
        <f>$B50*Prices!BI50</f>
        <v>17908.260000000002</v>
      </c>
      <c r="BJ50" s="6">
        <f>$B50*Prices!BJ50</f>
        <v>18322.95</v>
      </c>
      <c r="BK50" s="6">
        <f>$B50*Prices!BK50</f>
        <v>17984.849999999999</v>
      </c>
      <c r="BL50" s="6">
        <f>$B50*Prices!BL50</f>
        <v>18402.3</v>
      </c>
      <c r="BM50" s="6">
        <f>$B50*Prices!BM50</f>
        <v>18202.2</v>
      </c>
      <c r="BN50" s="6">
        <f>$B50*Prices!BN50</f>
        <v>18793.53</v>
      </c>
      <c r="BO50" s="6">
        <f>$B50*Prices!BO50</f>
        <v>18797.670000000002</v>
      </c>
      <c r="BP50" s="6">
        <f>$B50*Prices!BP50</f>
        <v>19126.8</v>
      </c>
      <c r="BQ50" s="6">
        <f>$B50*Prices!BQ50</f>
        <v>18918.420000000002</v>
      </c>
      <c r="BR50" s="6">
        <f>$B50*Prices!BR50</f>
        <v>18912.900000000001</v>
      </c>
      <c r="BS50" s="6">
        <f>$B50*Prices!BS50</f>
        <v>19098.510000000002</v>
      </c>
      <c r="BT50" s="6">
        <f>$B50*Prices!BT50</f>
        <v>18130.439999999999</v>
      </c>
      <c r="BU50" s="6">
        <f>$B50*Prices!BU50</f>
        <v>17940</v>
      </c>
      <c r="BV50" s="6">
        <f>$B50*Prices!BV50</f>
        <v>18124.920000000002</v>
      </c>
      <c r="BW50" s="6">
        <f>$B50*Prices!BW50</f>
        <v>18180.120000000003</v>
      </c>
      <c r="BX50" s="6">
        <f>$B50*Prices!BX50</f>
        <v>17746.8</v>
      </c>
      <c r="BY50" s="6">
        <f>$B50*Prices!BY50</f>
        <v>17848.23</v>
      </c>
      <c r="BZ50" s="6">
        <f>$B50*Prices!BZ50</f>
        <v>17807.52</v>
      </c>
      <c r="CA50" s="6">
        <f>$B50*Prices!CA50</f>
        <v>17306.672115000001</v>
      </c>
      <c r="CB50" s="6">
        <f>$B50*Prices!CB50</f>
        <v>17173.129928999999</v>
      </c>
      <c r="CC50" s="6">
        <f>$B50*Prices!CC50</f>
        <v>16460.681951999999</v>
      </c>
      <c r="CD50" s="6">
        <f>$B50*Prices!CD50</f>
        <v>16155.050385</v>
      </c>
      <c r="CE50" s="6">
        <f>$B50*Prices!CE50</f>
        <v>15899.669517</v>
      </c>
      <c r="CF50" s="6">
        <f>$B50*Prices!CF50</f>
        <v>15699.569931</v>
      </c>
      <c r="CG50" s="6">
        <f>$B50*Prices!CG50</f>
        <v>16346.099586</v>
      </c>
      <c r="CH50" s="6">
        <f>$B50*Prices!CH50</f>
        <v>16486.860138</v>
      </c>
      <c r="CI50" s="6">
        <f>$B50*Prices!CI50</f>
        <v>17439.75</v>
      </c>
      <c r="CJ50" s="6">
        <f>$B50*Prices!CJ50</f>
        <v>16809.779654999998</v>
      </c>
      <c r="CK50" s="6">
        <f>$B50*Prices!CK50</f>
        <v>16473.75</v>
      </c>
      <c r="CL50" s="6">
        <f>$B50*Prices!CL50</f>
        <v>14712.180069</v>
      </c>
      <c r="CM50" s="6">
        <f>$B50*Prices!CM50</f>
        <v>14998.529654999998</v>
      </c>
      <c r="CN50" s="6">
        <f>$B50*Prices!CN50</f>
        <v>14249.189655</v>
      </c>
      <c r="CO50" s="6">
        <f>$B50*Prices!CO50</f>
        <v>12814.680069</v>
      </c>
      <c r="CP50" s="6">
        <f>$B50*Prices!CP50</f>
        <v>13679.25</v>
      </c>
      <c r="CQ50" s="6">
        <f>$B50*Prices!CQ50</f>
        <v>11825.909930999998</v>
      </c>
      <c r="CR50" s="6">
        <f>$B50*Prices!CR50</f>
        <v>11913.540276</v>
      </c>
      <c r="CS50" s="6">
        <f>$B50*Prices!CS50</f>
        <v>10337.580483</v>
      </c>
      <c r="CT50" s="6">
        <f>$B50*Prices!CT50</f>
        <v>11608.560345</v>
      </c>
      <c r="CU50" s="6">
        <f>$B50*Prices!CU50</f>
        <v>10599.779654999998</v>
      </c>
      <c r="CV50" s="6">
        <f>$B50*Prices!CV50</f>
        <v>9944.2796549999985</v>
      </c>
      <c r="CW50" s="6">
        <f>$B50*Prices!CW50</f>
        <v>11068.979862</v>
      </c>
      <c r="CX50" s="6">
        <f>$B50*Prices!CX50</f>
        <v>12562.830483</v>
      </c>
      <c r="CY50" s="6">
        <f>$B50*Prices!CY50</f>
        <v>13449.479862</v>
      </c>
      <c r="CZ50" s="6">
        <f>$B50*Prices!CZ50</f>
        <v>12504.180069</v>
      </c>
      <c r="DA50" s="6">
        <f>$B50*Prices!DA50</f>
        <v>12386.880276</v>
      </c>
      <c r="DB50" s="6">
        <f>$B50*Prices!DB50</f>
        <v>13056.869724</v>
      </c>
      <c r="DC50" s="6"/>
      <c r="DD50" s="6"/>
      <c r="DE50" s="6"/>
      <c r="DF50" s="6"/>
      <c r="DG50" s="6"/>
      <c r="DH50" s="6"/>
      <c r="DI50" s="6"/>
      <c r="DJ50" s="6"/>
    </row>
    <row r="51" spans="1:114">
      <c r="A51" s="3" t="s">
        <v>48</v>
      </c>
      <c r="B51">
        <v>164</v>
      </c>
      <c r="C51" s="6">
        <f>$B51*Prices!C51</f>
        <v>11945.76</v>
      </c>
      <c r="D51" s="6">
        <f>$B51*Prices!D51</f>
        <v>12006.439999999999</v>
      </c>
      <c r="E51" s="6">
        <f>$B51*Prices!E51</f>
        <v>11922.800000000001</v>
      </c>
      <c r="F51" s="6">
        <f>$B51*Prices!F51</f>
        <v>12345.92</v>
      </c>
      <c r="G51" s="6">
        <f>$B51*Prices!G51</f>
        <v>12386.92</v>
      </c>
      <c r="H51" s="6">
        <f>$B51*Prices!H51</f>
        <v>12185.199999999999</v>
      </c>
      <c r="I51" s="6">
        <f>$B51*Prices!I51</f>
        <v>12300</v>
      </c>
      <c r="J51" s="6">
        <f>$B51*Prices!J51</f>
        <v>12301.640000000001</v>
      </c>
      <c r="K51" s="6">
        <f>$B51*Prices!K51</f>
        <v>12262.279999999999</v>
      </c>
      <c r="L51" s="6">
        <f>$B51*Prices!L51</f>
        <v>12218</v>
      </c>
      <c r="M51" s="6">
        <f>$B51*Prices!M51</f>
        <v>12201.6</v>
      </c>
      <c r="N51" s="6">
        <f>$B51*Prices!N51</f>
        <v>12078.6</v>
      </c>
      <c r="O51" s="6">
        <f>$B51*Prices!O51</f>
        <v>12218</v>
      </c>
      <c r="P51" s="6">
        <f>$B51*Prices!P51</f>
        <v>12203.24</v>
      </c>
      <c r="Q51" s="6">
        <f>$B51*Prices!Q51</f>
        <v>12283.6</v>
      </c>
      <c r="R51" s="6">
        <f>$B51*Prices!R51</f>
        <v>12332.800000000001</v>
      </c>
      <c r="S51" s="6">
        <f>$B51*Prices!S51</f>
        <v>12221.279999999999</v>
      </c>
      <c r="T51" s="6">
        <f>$B51*Prices!T51</f>
        <v>12236.039999999999</v>
      </c>
      <c r="U51" s="6">
        <f>$B51*Prices!U51</f>
        <v>12565.68</v>
      </c>
      <c r="V51" s="6">
        <f>$B51*Prices!V51</f>
        <v>12477.119999999999</v>
      </c>
      <c r="W51" s="6">
        <f>$B51*Prices!W51</f>
        <v>12447.6</v>
      </c>
      <c r="X51" s="6">
        <f>$B51*Prices!X51</f>
        <v>12423</v>
      </c>
      <c r="Y51" s="6">
        <f>$B51*Prices!Y51</f>
        <v>12436.119999999999</v>
      </c>
      <c r="Z51" s="6">
        <f>$B51*Prices!Z51</f>
        <v>12367.24</v>
      </c>
      <c r="AA51" s="6">
        <f>$B51*Prices!AA51</f>
        <v>12436.119999999999</v>
      </c>
      <c r="AB51" s="6">
        <f>$B51*Prices!AB51</f>
        <v>12168.800000000001</v>
      </c>
      <c r="AC51" s="6">
        <f>$B51*Prices!AC51</f>
        <v>12106.48</v>
      </c>
      <c r="AD51" s="6">
        <f>$B51*Prices!AD51</f>
        <v>11926.08</v>
      </c>
      <c r="AE51" s="6">
        <f>$B51*Prices!AE51</f>
        <v>11834.24</v>
      </c>
      <c r="AF51" s="6">
        <f>$B51*Prices!AF51</f>
        <v>11742.4</v>
      </c>
      <c r="AG51" s="6">
        <f>$B51*Prices!AG51</f>
        <v>11765.359999999999</v>
      </c>
      <c r="AH51" s="6">
        <f>$B51*Prices!AH51</f>
        <v>11901.48</v>
      </c>
      <c r="AI51" s="6">
        <f>$B51*Prices!AI51</f>
        <v>11890</v>
      </c>
      <c r="AJ51" s="6">
        <f>$B51*Prices!AJ51</f>
        <v>11775.199999999999</v>
      </c>
      <c r="AK51" s="6">
        <f>$B51*Prices!AK51</f>
        <v>11593.16</v>
      </c>
      <c r="AL51" s="6">
        <f>$B51*Prices!AL51</f>
        <v>11794.880000000001</v>
      </c>
      <c r="AM51" s="6">
        <f>$B51*Prices!AM51</f>
        <v>12022.84</v>
      </c>
      <c r="AN51" s="6">
        <f>$B51*Prices!AN51</f>
        <v>11912.960000000001</v>
      </c>
      <c r="AO51" s="6">
        <f>$B51*Prices!AO51</f>
        <v>11990.039999999999</v>
      </c>
      <c r="AP51" s="6">
        <f>$B51*Prices!AP51</f>
        <v>12004.800000000001</v>
      </c>
      <c r="AQ51" s="6">
        <f>$B51*Prices!AQ51</f>
        <v>11924.439999999999</v>
      </c>
      <c r="AR51" s="6">
        <f>$B51*Prices!AR51</f>
        <v>11896.560000000001</v>
      </c>
      <c r="AS51" s="6">
        <f>$B51*Prices!AS51</f>
        <v>11842.439999999999</v>
      </c>
      <c r="AT51" s="6">
        <f>$B51*Prices!AT51</f>
        <v>11849</v>
      </c>
      <c r="AU51" s="6">
        <f>$B51*Prices!AU51</f>
        <v>11758.800000000001</v>
      </c>
      <c r="AV51" s="6">
        <f>$B51*Prices!AV51</f>
        <v>11566.92</v>
      </c>
      <c r="AW51" s="6">
        <f>$B51*Prices!AW51</f>
        <v>11530.84</v>
      </c>
      <c r="AX51" s="6">
        <f>$B51*Prices!AX51</f>
        <v>11650.560000000001</v>
      </c>
      <c r="AY51" s="6">
        <f>$B51*Prices!AY51</f>
        <v>11658.76</v>
      </c>
      <c r="AZ51" s="6">
        <f>$B51*Prices!AZ51</f>
        <v>11893.279999999999</v>
      </c>
      <c r="BA51" s="6">
        <f>$B51*Prices!BA51</f>
        <v>11771.92</v>
      </c>
      <c r="BB51" s="6">
        <f>$B51*Prices!BB51</f>
        <v>11862.119999999999</v>
      </c>
      <c r="BC51" s="6">
        <f>$B51*Prices!BC51</f>
        <v>12086.800000000001</v>
      </c>
      <c r="BD51" s="6">
        <f>$B51*Prices!BD51</f>
        <v>12044.16</v>
      </c>
      <c r="BE51" s="6">
        <f>$B51*Prices!BE51</f>
        <v>12013</v>
      </c>
      <c r="BF51" s="6">
        <f>$B51*Prices!BF51</f>
        <v>12318.039999999999</v>
      </c>
      <c r="BG51" s="6">
        <f>$B51*Prices!BG51</f>
        <v>12442.68</v>
      </c>
      <c r="BH51" s="6">
        <f>$B51*Prices!BH51</f>
        <v>12300</v>
      </c>
      <c r="BI51" s="6">
        <f>$B51*Prices!BI51</f>
        <v>12472.199999999999</v>
      </c>
      <c r="BJ51" s="6">
        <f>$B51*Prices!BJ51</f>
        <v>12386.92</v>
      </c>
      <c r="BK51" s="6">
        <f>$B51*Prices!BK51</f>
        <v>12265.560000000001</v>
      </c>
      <c r="BL51" s="6">
        <f>$B51*Prices!BL51</f>
        <v>12434.48</v>
      </c>
      <c r="BM51" s="6">
        <f>$B51*Prices!BM51</f>
        <v>12140.92</v>
      </c>
      <c r="BN51" s="6">
        <f>$B51*Prices!BN51</f>
        <v>12239.32</v>
      </c>
      <c r="BO51" s="6">
        <f>$B51*Prices!BO51</f>
        <v>12472.199999999999</v>
      </c>
      <c r="BP51" s="6">
        <f>$B51*Prices!BP51</f>
        <v>12913.359999999999</v>
      </c>
      <c r="BQ51" s="6">
        <f>$B51*Prices!BQ51</f>
        <v>13054.4</v>
      </c>
      <c r="BR51" s="6">
        <f>$B51*Prices!BR51</f>
        <v>12888.76</v>
      </c>
      <c r="BS51" s="6">
        <f>$B51*Prices!BS51</f>
        <v>12997</v>
      </c>
      <c r="BT51" s="6">
        <f>$B51*Prices!BT51</f>
        <v>13013.4</v>
      </c>
      <c r="BU51" s="6">
        <f>$B51*Prices!BU51</f>
        <v>12934.68</v>
      </c>
      <c r="BV51" s="6">
        <f>$B51*Prices!BV51</f>
        <v>13115.08</v>
      </c>
      <c r="BW51" s="6">
        <f>$B51*Prices!BW51</f>
        <v>13120</v>
      </c>
      <c r="BX51" s="6">
        <f>$B51*Prices!BX51</f>
        <v>13079</v>
      </c>
      <c r="BY51" s="6">
        <f>$B51*Prices!BY51</f>
        <v>12949.439999999999</v>
      </c>
      <c r="BZ51" s="6">
        <f>$B51*Prices!BZ51</f>
        <v>12937.960000000001</v>
      </c>
      <c r="CA51" s="6">
        <f>$B51*Prices!CA51</f>
        <v>12987.160328000002</v>
      </c>
      <c r="CB51" s="6">
        <f>$B51*Prices!CB51</f>
        <v>12751</v>
      </c>
      <c r="CC51" s="6">
        <f>$B51*Prices!CC51</f>
        <v>12322.959836</v>
      </c>
      <c r="CD51" s="6">
        <f>$B51*Prices!CD51</f>
        <v>12221.279508000001</v>
      </c>
      <c r="CE51" s="6">
        <f>$B51*Prices!CE51</f>
        <v>11519.359672000001</v>
      </c>
      <c r="CF51" s="6">
        <f>$B51*Prices!CF51</f>
        <v>11562</v>
      </c>
      <c r="CG51" s="6">
        <f>$B51*Prices!CG51</f>
        <v>12170.439836</v>
      </c>
      <c r="CH51" s="6">
        <f>$B51*Prices!CH51</f>
        <v>12211.439836</v>
      </c>
      <c r="CI51" s="6">
        <f>$B51*Prices!CI51</f>
        <v>12568.959836</v>
      </c>
      <c r="CJ51" s="6">
        <f>$B51*Prices!CJ51</f>
        <v>12214.720491999999</v>
      </c>
      <c r="CK51" s="6">
        <f>$B51*Prices!CK51</f>
        <v>11990.040164</v>
      </c>
      <c r="CL51" s="6">
        <f>$B51*Prices!CL51</f>
        <v>10496</v>
      </c>
      <c r="CM51" s="6">
        <f>$B51*Prices!CM51</f>
        <v>10915.839671999998</v>
      </c>
      <c r="CN51" s="6">
        <f>$B51*Prices!CN51</f>
        <v>10081.080164000001</v>
      </c>
      <c r="CO51" s="6">
        <f>$B51*Prices!CO51</f>
        <v>8928.1598360000007</v>
      </c>
      <c r="CP51" s="6">
        <f>$B51*Prices!CP51</f>
        <v>9815.3996719999996</v>
      </c>
      <c r="CQ51" s="6">
        <f>$B51*Prices!CQ51</f>
        <v>8029.4398360000005</v>
      </c>
      <c r="CR51" s="6">
        <f>$B51*Prices!CR51</f>
        <v>8254.1203280000009</v>
      </c>
      <c r="CS51" s="6">
        <f>$B51*Prices!CS51</f>
        <v>8034.3603279999998</v>
      </c>
      <c r="CT51" s="6">
        <f>$B51*Prices!CT51</f>
        <v>8262.3201640000007</v>
      </c>
      <c r="CU51" s="6">
        <f>$B51*Prices!CU51</f>
        <v>7701.4398360000005</v>
      </c>
      <c r="CV51" s="6">
        <f>$B51*Prices!CV51</f>
        <v>7165.1598359999998</v>
      </c>
      <c r="CW51" s="6">
        <f>$B51*Prices!CW51</f>
        <v>8649.3603279999988</v>
      </c>
      <c r="CX51" s="6">
        <f>$B51*Prices!CX51</f>
        <v>8865.8401639999993</v>
      </c>
      <c r="CY51" s="6">
        <f>$B51*Prices!CY51</f>
        <v>9521.8401639999993</v>
      </c>
      <c r="CZ51" s="6">
        <f>$B51*Prices!CZ51</f>
        <v>9387.3603279999988</v>
      </c>
      <c r="DA51" s="6">
        <f>$B51*Prices!DA51</f>
        <v>9597.2800000000007</v>
      </c>
      <c r="DB51" s="6">
        <f>$B51*Prices!DB51</f>
        <v>9518.5601639999986</v>
      </c>
      <c r="DC51" s="6"/>
      <c r="DD51" s="6"/>
      <c r="DE51" s="6"/>
      <c r="DF51" s="6"/>
      <c r="DG51" s="6"/>
      <c r="DH51" s="6"/>
      <c r="DI51" s="6"/>
      <c r="DJ51" s="6"/>
    </row>
    <row r="52" spans="1:114">
      <c r="A52" s="2" t="s">
        <v>49</v>
      </c>
      <c r="C52" s="6">
        <f>SUM(C53:C55)</f>
        <v>59993.17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>
        <f>SUM(BM53:BM55)</f>
        <v>61485.43</v>
      </c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>
        <f>SUM(BZ53:BZ55)</f>
        <v>67547.64</v>
      </c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</row>
    <row r="53" spans="1:114">
      <c r="A53" s="3" t="s">
        <v>50</v>
      </c>
      <c r="B53">
        <v>838</v>
      </c>
      <c r="C53" s="6">
        <f>$B53*Prices!C53</f>
        <v>12000.16</v>
      </c>
      <c r="D53" s="6">
        <f>$B53*Prices!D53</f>
        <v>11975.019999999999</v>
      </c>
      <c r="E53" s="6">
        <f>$B53*Prices!E53</f>
        <v>11907.980000000001</v>
      </c>
      <c r="F53" s="6">
        <f>$B53*Prices!F53</f>
        <v>10994.56</v>
      </c>
      <c r="G53" s="6">
        <f>$B53*Prices!G53</f>
        <v>11162.16</v>
      </c>
      <c r="H53" s="6">
        <f>$B53*Prices!H53</f>
        <v>10885.62</v>
      </c>
      <c r="I53" s="6">
        <f>$B53*Prices!I53</f>
        <v>10927.519999999999</v>
      </c>
      <c r="J53" s="6">
        <f>$B53*Prices!J53</f>
        <v>10969.42</v>
      </c>
      <c r="K53" s="6">
        <f>$B53*Prices!K53</f>
        <v>10835.34</v>
      </c>
      <c r="L53" s="6">
        <f>$B53*Prices!L53</f>
        <v>10860.480000000001</v>
      </c>
      <c r="M53" s="6">
        <f>$B53*Prices!M53</f>
        <v>11178.92</v>
      </c>
      <c r="N53" s="6">
        <f>$B53*Prices!N53</f>
        <v>11405.18</v>
      </c>
      <c r="O53" s="6">
        <f>$B53*Prices!O53</f>
        <v>11472.22</v>
      </c>
      <c r="P53" s="6">
        <f>$B53*Prices!P53</f>
        <v>11413.56</v>
      </c>
      <c r="Q53" s="6">
        <f>$B53*Prices!Q53</f>
        <v>11405.18</v>
      </c>
      <c r="R53" s="6">
        <f>$B53*Prices!R53</f>
        <v>11262.72</v>
      </c>
      <c r="S53" s="6">
        <f>$B53*Prices!S53</f>
        <v>11271.099999999999</v>
      </c>
      <c r="T53" s="6">
        <f>$B53*Prices!T53</f>
        <v>11405.18</v>
      </c>
      <c r="U53" s="6">
        <f>$B53*Prices!U53</f>
        <v>11363.28</v>
      </c>
      <c r="V53" s="6">
        <f>$B53*Prices!V53</f>
        <v>11530.88</v>
      </c>
      <c r="W53" s="6">
        <f>$B53*Prices!W53</f>
        <v>11539.26</v>
      </c>
      <c r="X53" s="6">
        <f>$B53*Prices!X53</f>
        <v>11430.32</v>
      </c>
      <c r="Y53" s="6">
        <f>$B53*Prices!Y53</f>
        <v>11421.94</v>
      </c>
      <c r="Z53" s="6">
        <f>$B53*Prices!Z53</f>
        <v>11421.94</v>
      </c>
      <c r="AA53" s="6">
        <f>$B53*Prices!AA53</f>
        <v>11497.36</v>
      </c>
      <c r="AB53" s="6">
        <f>$B53*Prices!AB53</f>
        <v>11564.400000000001</v>
      </c>
      <c r="AC53" s="6">
        <f>$B53*Prices!AC53</f>
        <v>11715.24</v>
      </c>
      <c r="AD53" s="6">
        <f>$B53*Prices!AD53</f>
        <v>11681.72</v>
      </c>
      <c r="AE53" s="6">
        <f>$B53*Prices!AE53</f>
        <v>11514.12</v>
      </c>
      <c r="AF53" s="6">
        <f>$B53*Prices!AF53</f>
        <v>11095.12</v>
      </c>
      <c r="AG53" s="6">
        <f>$B53*Prices!AG53</f>
        <v>10919.14</v>
      </c>
      <c r="AH53" s="6">
        <f>$B53*Prices!AH53</f>
        <v>11120.26</v>
      </c>
      <c r="AI53" s="6">
        <f>$B53*Prices!AI53</f>
        <v>11204.06</v>
      </c>
      <c r="AJ53" s="6">
        <f>$B53*Prices!AJ53</f>
        <v>11195.68</v>
      </c>
      <c r="AK53" s="6">
        <f>$B53*Prices!AK53</f>
        <v>11195.68</v>
      </c>
      <c r="AL53" s="6">
        <f>$B53*Prices!AL53</f>
        <v>11162.16</v>
      </c>
      <c r="AM53" s="6">
        <f>$B53*Prices!AM53</f>
        <v>11111.88</v>
      </c>
      <c r="AN53" s="6">
        <f>$B53*Prices!AN53</f>
        <v>11162.16</v>
      </c>
      <c r="AO53" s="6">
        <f>$B53*Prices!AO53</f>
        <v>11028.08</v>
      </c>
      <c r="AP53" s="6">
        <f>$B53*Prices!AP53</f>
        <v>11044.84</v>
      </c>
      <c r="AQ53" s="6">
        <f>$B53*Prices!AQ53</f>
        <v>10961.04</v>
      </c>
      <c r="AR53" s="6">
        <f>$B53*Prices!AR53</f>
        <v>11162.16</v>
      </c>
      <c r="AS53" s="6">
        <f>$B53*Prices!AS53</f>
        <v>10885.62</v>
      </c>
      <c r="AT53" s="6">
        <f>$B53*Prices!AT53</f>
        <v>10877.24</v>
      </c>
      <c r="AU53" s="6">
        <f>$B53*Prices!AU53</f>
        <v>10894</v>
      </c>
      <c r="AV53" s="6">
        <f>$B53*Prices!AV53</f>
        <v>10759.92</v>
      </c>
      <c r="AW53" s="6">
        <f>$B53*Prices!AW53</f>
        <v>10877.24</v>
      </c>
      <c r="AX53" s="6">
        <f>$B53*Prices!AX53</f>
        <v>10919.14</v>
      </c>
      <c r="AY53" s="6">
        <f>$B53*Prices!AY53</f>
        <v>10885.62</v>
      </c>
      <c r="AZ53" s="6">
        <f>$B53*Prices!AZ53</f>
        <v>11111.88</v>
      </c>
      <c r="BA53" s="6">
        <f>$B53*Prices!BA53</f>
        <v>11187.3</v>
      </c>
      <c r="BB53" s="6">
        <f>$B53*Prices!BB53</f>
        <v>11413.56</v>
      </c>
      <c r="BC53" s="6">
        <f>$B53*Prices!BC53</f>
        <v>11321.38</v>
      </c>
      <c r="BD53" s="6">
        <f>$B53*Prices!BD53</f>
        <v>11212.44</v>
      </c>
      <c r="BE53" s="6">
        <f>$B53*Prices!BE53</f>
        <v>11220.82</v>
      </c>
      <c r="BF53" s="6">
        <f>$B53*Prices!BF53</f>
        <v>11178.92</v>
      </c>
      <c r="BG53" s="6">
        <f>$B53*Prices!BG53</f>
        <v>11279.480000000001</v>
      </c>
      <c r="BH53" s="6">
        <f>$B53*Prices!BH53</f>
        <v>11069.980000000001</v>
      </c>
      <c r="BI53" s="6">
        <f>$B53*Prices!BI53</f>
        <v>10986.18</v>
      </c>
      <c r="BJ53" s="6">
        <f>$B53*Prices!BJ53</f>
        <v>10818.58</v>
      </c>
      <c r="BK53" s="6">
        <f>$B53*Prices!BK53</f>
        <v>10433.099999999999</v>
      </c>
      <c r="BL53" s="6">
        <f>$B53*Prices!BL53</f>
        <v>10106.280000000001</v>
      </c>
      <c r="BM53" s="6">
        <f>$B53*Prices!BM53</f>
        <v>9871.64</v>
      </c>
      <c r="BN53" s="6">
        <f>$B53*Prices!BN53</f>
        <v>9963.82</v>
      </c>
      <c r="BO53" s="6">
        <f>$B53*Prices!BO53</f>
        <v>9687.2800000000007</v>
      </c>
      <c r="BP53" s="6">
        <f>$B53*Prices!BP53</f>
        <v>9737.56</v>
      </c>
      <c r="BQ53" s="6">
        <f>$B53*Prices!BQ53</f>
        <v>9880.0199999999986</v>
      </c>
      <c r="BR53" s="6">
        <f>$B53*Prices!BR53</f>
        <v>9754.32</v>
      </c>
      <c r="BS53" s="6">
        <f>$B53*Prices!BS53</f>
        <v>9787.84</v>
      </c>
      <c r="BT53" s="6">
        <f>$B53*Prices!BT53</f>
        <v>9930.2999999999993</v>
      </c>
      <c r="BU53" s="6">
        <f>$B53*Prices!BU53</f>
        <v>9536.44</v>
      </c>
      <c r="BV53" s="6">
        <f>$B53*Prices!BV53</f>
        <v>9888.4000000000015</v>
      </c>
      <c r="BW53" s="6">
        <f>$B53*Prices!BW53</f>
        <v>10139.799999999999</v>
      </c>
      <c r="BX53" s="6">
        <f>$B53*Prices!BX53</f>
        <v>10014.099999999999</v>
      </c>
      <c r="BY53" s="6">
        <f>$B53*Prices!BY53</f>
        <v>9871.64</v>
      </c>
      <c r="BZ53" s="6">
        <f>$B53*Prices!BZ53</f>
        <v>10500.14</v>
      </c>
      <c r="CA53" s="6">
        <f>$B53*Prices!CA53</f>
        <v>10063.477473999999</v>
      </c>
      <c r="CB53" s="6">
        <f>$B53*Prices!CB53</f>
        <v>9713.6552119999997</v>
      </c>
      <c r="CC53" s="6">
        <f>$B53*Prices!CC53</f>
        <v>8525.8874199999991</v>
      </c>
      <c r="CD53" s="6">
        <f>$B53*Prices!CD53</f>
        <v>8135.3894760000003</v>
      </c>
      <c r="CE53" s="6">
        <f>$B53*Prices!CE53</f>
        <v>7899.4631460000001</v>
      </c>
      <c r="CF53" s="6">
        <f>$B53*Prices!CF53</f>
        <v>7761.1621400000004</v>
      </c>
      <c r="CG53" s="6">
        <f>$B53*Prices!CG53</f>
        <v>8102.8482599999988</v>
      </c>
      <c r="CH53" s="6">
        <f>$B53*Prices!CH53</f>
        <v>7866.9219299999995</v>
      </c>
      <c r="CI53" s="6">
        <f>$B53*Prices!CI53</f>
        <v>8135.3894760000003</v>
      </c>
      <c r="CJ53" s="6">
        <f>$B53*Prices!CJ53</f>
        <v>7948.2766459999993</v>
      </c>
      <c r="CK53" s="6">
        <f>$B53*Prices!CK53</f>
        <v>8029.6296859999993</v>
      </c>
      <c r="CL53" s="6">
        <f>$B53*Prices!CL53</f>
        <v>7159.1429399999997</v>
      </c>
      <c r="CM53" s="6">
        <f>$B53*Prices!CM53</f>
        <v>7972.6825580000004</v>
      </c>
      <c r="CN53" s="6">
        <f>$B53*Prices!CN53</f>
        <v>7329.9868379999989</v>
      </c>
      <c r="CO53" s="6">
        <f>$B53*Prices!CO53</f>
        <v>6980.54</v>
      </c>
      <c r="CP53" s="6">
        <f>$B53*Prices!CP53</f>
        <v>6812.9400000000005</v>
      </c>
      <c r="CQ53" s="6">
        <f>$B53*Prices!CQ53</f>
        <v>6360.42</v>
      </c>
      <c r="CR53" s="6">
        <f>$B53*Prices!CR53</f>
        <v>7123</v>
      </c>
      <c r="CS53" s="6">
        <f>$B53*Prices!CS53</f>
        <v>5472.14</v>
      </c>
      <c r="CT53" s="6">
        <f>$B53*Prices!CT53</f>
        <v>6276.62</v>
      </c>
      <c r="CU53" s="6">
        <f>$B53*Prices!CU53</f>
        <v>6201.2000000000007</v>
      </c>
      <c r="CV53" s="6">
        <f>$B53*Prices!CV53</f>
        <v>5773.82</v>
      </c>
      <c r="CW53" s="6">
        <f>$B53*Prices!CW53</f>
        <v>5715.16</v>
      </c>
      <c r="CX53" s="6">
        <f>$B53*Prices!CX53</f>
        <v>6192.82</v>
      </c>
      <c r="CY53" s="6">
        <f>$B53*Prices!CY53</f>
        <v>6494.5</v>
      </c>
      <c r="CZ53" s="6">
        <f>$B53*Prices!CZ53</f>
        <v>6293.38</v>
      </c>
      <c r="DA53" s="6">
        <f>$B53*Prices!DA53</f>
        <v>5941.42</v>
      </c>
      <c r="DB53" s="6">
        <f>$B53*Prices!DB53</f>
        <v>6075.5</v>
      </c>
      <c r="DC53" s="6"/>
      <c r="DD53" s="6"/>
      <c r="DE53" s="6"/>
      <c r="DF53" s="6"/>
      <c r="DG53" s="6"/>
      <c r="DH53" s="6"/>
      <c r="DI53" s="6"/>
      <c r="DJ53" s="6"/>
    </row>
    <row r="54" spans="1:114">
      <c r="A54" s="3" t="s">
        <v>51</v>
      </c>
      <c r="B54">
        <v>869</v>
      </c>
      <c r="C54" s="6">
        <f>$B54*Prices!C54</f>
        <v>18014.37</v>
      </c>
      <c r="D54" s="6">
        <f>$B54*Prices!D54</f>
        <v>18092.580000000002</v>
      </c>
      <c r="E54" s="6">
        <f>$B54*Prices!E54</f>
        <v>17762.36</v>
      </c>
      <c r="F54" s="6">
        <f>$B54*Prices!F54</f>
        <v>16667.419999999998</v>
      </c>
      <c r="G54" s="6">
        <f>$B54*Prices!G54</f>
        <v>16893.36</v>
      </c>
      <c r="H54" s="6">
        <f>$B54*Prices!H54</f>
        <v>16875.980000000003</v>
      </c>
      <c r="I54" s="6">
        <f>$B54*Prices!I54</f>
        <v>17336.55</v>
      </c>
      <c r="J54" s="6">
        <f>$B54*Prices!J54</f>
        <v>17310.480000000003</v>
      </c>
      <c r="K54" s="6">
        <f>$B54*Prices!K54</f>
        <v>17171.440000000002</v>
      </c>
      <c r="L54" s="6">
        <f>$B54*Prices!L54</f>
        <v>17136.68</v>
      </c>
      <c r="M54" s="6">
        <f>$B54*Prices!M54</f>
        <v>17310.480000000003</v>
      </c>
      <c r="N54" s="6">
        <f>$B54*Prices!N54</f>
        <v>17597.25</v>
      </c>
      <c r="O54" s="6">
        <f>$B54*Prices!O54</f>
        <v>17857.95</v>
      </c>
      <c r="P54" s="6">
        <f>$B54*Prices!P54</f>
        <v>17771.05</v>
      </c>
      <c r="Q54" s="6">
        <f>$B54*Prices!Q54</f>
        <v>17805.809999999998</v>
      </c>
      <c r="R54" s="6">
        <f>$B54*Prices!R54</f>
        <v>17284.41</v>
      </c>
      <c r="S54" s="6">
        <f>$B54*Prices!S54</f>
        <v>17119.3</v>
      </c>
      <c r="T54" s="6">
        <f>$B54*Prices!T54</f>
        <v>17362.62</v>
      </c>
      <c r="U54" s="6">
        <f>$B54*Prices!U54</f>
        <v>18031.75</v>
      </c>
      <c r="V54" s="6">
        <f>$B54*Prices!V54</f>
        <v>18092.580000000002</v>
      </c>
      <c r="W54" s="6">
        <f>$B54*Prices!W54</f>
        <v>18040.440000000002</v>
      </c>
      <c r="X54" s="6">
        <f>$B54*Prices!X54</f>
        <v>17866.64</v>
      </c>
      <c r="Y54" s="6">
        <f>$B54*Prices!Y54</f>
        <v>18266.38</v>
      </c>
      <c r="Z54" s="6">
        <f>$B54*Prices!Z54</f>
        <v>18301.14</v>
      </c>
      <c r="AA54" s="6">
        <f>$B54*Prices!AA54</f>
        <v>18501.009999999998</v>
      </c>
      <c r="AB54" s="6">
        <f>$B54*Prices!AB54</f>
        <v>18483.63</v>
      </c>
      <c r="AC54" s="6">
        <f>$B54*Prices!AC54</f>
        <v>18587.91</v>
      </c>
      <c r="AD54" s="6">
        <f>$B54*Prices!AD54</f>
        <v>18674.809999999998</v>
      </c>
      <c r="AE54" s="6">
        <f>$B54*Prices!AE54</f>
        <v>18023.059999999998</v>
      </c>
      <c r="AF54" s="6">
        <f>$B54*Prices!AF54</f>
        <v>17605.940000000002</v>
      </c>
      <c r="AG54" s="6">
        <f>$B54*Prices!AG54</f>
        <v>17267.030000000002</v>
      </c>
      <c r="AH54" s="6">
        <f>$B54*Prices!AH54</f>
        <v>17492.969999999998</v>
      </c>
      <c r="AI54" s="6">
        <f>$B54*Prices!AI54</f>
        <v>17284.41</v>
      </c>
      <c r="AJ54" s="6">
        <f>$B54*Prices!AJ54</f>
        <v>17449.519999999997</v>
      </c>
      <c r="AK54" s="6">
        <f>$B54*Prices!AK54</f>
        <v>17675.46</v>
      </c>
      <c r="AL54" s="6">
        <f>$B54*Prices!AL54</f>
        <v>17988.3</v>
      </c>
      <c r="AM54" s="6">
        <f>$B54*Prices!AM54</f>
        <v>17727.599999999999</v>
      </c>
      <c r="AN54" s="6">
        <f>$B54*Prices!AN54</f>
        <v>17744.980000000003</v>
      </c>
      <c r="AO54" s="6">
        <f>$B54*Prices!AO54</f>
        <v>17988.3</v>
      </c>
      <c r="AP54" s="6">
        <f>$B54*Prices!AP54</f>
        <v>17996.990000000002</v>
      </c>
      <c r="AQ54" s="6">
        <f>$B54*Prices!AQ54</f>
        <v>18066.509999999998</v>
      </c>
      <c r="AR54" s="6">
        <f>$B54*Prices!AR54</f>
        <v>18344.59</v>
      </c>
      <c r="AS54" s="6">
        <f>$B54*Prices!AS54</f>
        <v>18066.509999999998</v>
      </c>
      <c r="AT54" s="6">
        <f>$B54*Prices!AT54</f>
        <v>18188.169999999998</v>
      </c>
      <c r="AU54" s="6">
        <f>$B54*Prices!AU54</f>
        <v>18275.07</v>
      </c>
      <c r="AV54" s="6">
        <f>$B54*Prices!AV54</f>
        <v>18118.650000000001</v>
      </c>
      <c r="AW54" s="6">
        <f>$B54*Prices!AW54</f>
        <v>18179.480000000003</v>
      </c>
      <c r="AX54" s="6">
        <f>$B54*Prices!AX54</f>
        <v>18318.519999999997</v>
      </c>
      <c r="AY54" s="6">
        <f>$B54*Prices!AY54</f>
        <v>18492.32</v>
      </c>
      <c r="AZ54" s="6">
        <f>$B54*Prices!AZ54</f>
        <v>18848.61</v>
      </c>
      <c r="BA54" s="6">
        <f>$B54*Prices!BA54</f>
        <v>18683.5</v>
      </c>
      <c r="BB54" s="6">
        <f>$B54*Prices!BB54</f>
        <v>19005.030000000002</v>
      </c>
      <c r="BC54" s="6">
        <f>$B54*Prices!BC54</f>
        <v>19317.87</v>
      </c>
      <c r="BD54" s="6">
        <f>$B54*Prices!BD54</f>
        <v>19370.009999999998</v>
      </c>
      <c r="BE54" s="6">
        <f>$B54*Prices!BE54</f>
        <v>19456.91</v>
      </c>
      <c r="BF54" s="6">
        <f>$B54*Prices!BF54</f>
        <v>19439.530000000002</v>
      </c>
      <c r="BG54" s="6">
        <f>$B54*Prices!BG54</f>
        <v>19465.599999999999</v>
      </c>
      <c r="BH54" s="6">
        <f>$B54*Prices!BH54</f>
        <v>19465.599999999999</v>
      </c>
      <c r="BI54" s="6">
        <f>$B54*Prices!BI54</f>
        <v>19500.36</v>
      </c>
      <c r="BJ54" s="6">
        <f>$B54*Prices!BJ54</f>
        <v>19552.5</v>
      </c>
      <c r="BK54" s="6">
        <f>$B54*Prices!BK54</f>
        <v>19743.68</v>
      </c>
      <c r="BL54" s="6">
        <f>$B54*Prices!BL54</f>
        <v>19535.12</v>
      </c>
      <c r="BM54" s="6">
        <f>$B54*Prices!BM54</f>
        <v>19248.349999999999</v>
      </c>
      <c r="BN54" s="6">
        <f>$B54*Prices!BN54</f>
        <v>19474.29</v>
      </c>
      <c r="BO54" s="6">
        <f>$B54*Prices!BO54</f>
        <v>19665.469999999998</v>
      </c>
      <c r="BP54" s="6">
        <f>$B54*Prices!BP54</f>
        <v>19778.440000000002</v>
      </c>
      <c r="BQ54" s="6">
        <f>$B54*Prices!BQ54</f>
        <v>19908.79</v>
      </c>
      <c r="BR54" s="6">
        <f>$B54*Prices!BR54</f>
        <v>20230.32</v>
      </c>
      <c r="BS54" s="6">
        <f>$B54*Prices!BS54</f>
        <v>20464.95</v>
      </c>
      <c r="BT54" s="6">
        <f>$B54*Prices!BT54</f>
        <v>20499.71</v>
      </c>
      <c r="BU54" s="6">
        <f>$B54*Prices!BU54</f>
        <v>20299.84</v>
      </c>
      <c r="BV54" s="6">
        <f>$B54*Prices!BV54</f>
        <v>20517.09</v>
      </c>
      <c r="BW54" s="6">
        <f>$B54*Prices!BW54</f>
        <v>20925.519999999997</v>
      </c>
      <c r="BX54" s="6">
        <f>$B54*Prices!BX54</f>
        <v>20968.969999999998</v>
      </c>
      <c r="BY54" s="6">
        <f>$B54*Prices!BY54</f>
        <v>20682.2</v>
      </c>
      <c r="BZ54" s="6">
        <f>$B54*Prices!BZ54</f>
        <v>20977.66</v>
      </c>
      <c r="CA54" s="6">
        <f>$B54*Prices!CA54</f>
        <v>20725.948936000001</v>
      </c>
      <c r="CB54" s="6">
        <f>$B54*Prices!CB54</f>
        <v>20545.725288000001</v>
      </c>
      <c r="CC54" s="6">
        <f>$B54*Prices!CC54</f>
        <v>19944.970815000001</v>
      </c>
      <c r="CD54" s="6">
        <f>$B54*Prices!CD54</f>
        <v>19919.225821</v>
      </c>
      <c r="CE54" s="6">
        <f>$B54*Prices!CE54</f>
        <v>18443.092019</v>
      </c>
      <c r="CF54" s="6">
        <f>$B54*Prices!CF54</f>
        <v>18134.132973</v>
      </c>
      <c r="CG54" s="6">
        <f>$B54*Prices!CG54</f>
        <v>19121.08495</v>
      </c>
      <c r="CH54" s="6">
        <f>$B54*Prices!CH54</f>
        <v>19095.337349000001</v>
      </c>
      <c r="CI54" s="6">
        <f>$B54*Prices!CI54</f>
        <v>20065.122230999998</v>
      </c>
      <c r="CJ54" s="6">
        <f>$B54*Prices!CJ54</f>
        <v>20116.615695</v>
      </c>
      <c r="CK54" s="6">
        <f>$B54*Prices!CK54</f>
        <v>19756.164923</v>
      </c>
      <c r="CL54" s="6">
        <f>$B54*Prices!CL54</f>
        <v>18228.536787999998</v>
      </c>
      <c r="CM54" s="6">
        <f>$B54*Prices!CM54</f>
        <v>18674.809999999998</v>
      </c>
      <c r="CN54" s="6">
        <f>$B54*Prices!CN54</f>
        <v>17032.400000000001</v>
      </c>
      <c r="CO54" s="6">
        <f>$B54*Prices!CO54</f>
        <v>14538.37</v>
      </c>
      <c r="CP54" s="6">
        <f>$B54*Prices!CP54</f>
        <v>15572.480000000001</v>
      </c>
      <c r="CQ54" s="6">
        <f>$B54*Prices!CQ54</f>
        <v>11922.68</v>
      </c>
      <c r="CR54" s="6">
        <f>$B54*Prices!CR54</f>
        <v>13008.93</v>
      </c>
      <c r="CS54" s="6">
        <f>$B54*Prices!CS54</f>
        <v>12148.62</v>
      </c>
      <c r="CT54" s="6">
        <f>$B54*Prices!CT54</f>
        <v>13008.93</v>
      </c>
      <c r="CU54" s="6">
        <f>$B54*Prices!CU54</f>
        <v>12226.83</v>
      </c>
      <c r="CV54" s="6">
        <f>$B54*Prices!CV54</f>
        <v>11305.69</v>
      </c>
      <c r="CW54" s="6">
        <f>$B54*Prices!CW54</f>
        <v>12365.87</v>
      </c>
      <c r="CX54" s="6">
        <f>$B54*Prices!CX54</f>
        <v>13843.17</v>
      </c>
      <c r="CY54" s="6">
        <f>$B54*Prices!CY54</f>
        <v>15259.639131000002</v>
      </c>
      <c r="CZ54" s="6">
        <f>$B54*Prices!CZ54</f>
        <v>15363.92</v>
      </c>
      <c r="DA54" s="6">
        <f>$B54*Prices!DA54</f>
        <v>15285.71</v>
      </c>
      <c r="DB54" s="6">
        <f>$B54*Prices!DB54</f>
        <v>15025.010869</v>
      </c>
      <c r="DC54" s="6"/>
      <c r="DD54" s="6"/>
      <c r="DE54" s="6"/>
      <c r="DF54" s="6"/>
      <c r="DG54" s="6"/>
      <c r="DH54" s="6"/>
      <c r="DI54" s="6"/>
      <c r="DJ54" s="6"/>
    </row>
    <row r="55" spans="1:114">
      <c r="A55" s="3" t="s">
        <v>52</v>
      </c>
      <c r="B55">
        <v>216</v>
      </c>
      <c r="C55" s="6">
        <f>$B55*Prices!C55</f>
        <v>29978.639999999999</v>
      </c>
      <c r="D55" s="6">
        <f>$B55*Prices!D55</f>
        <v>29682.719999999998</v>
      </c>
      <c r="E55" s="6">
        <f>$B55*Prices!E55</f>
        <v>29052</v>
      </c>
      <c r="F55" s="6">
        <f>$B55*Prices!F55</f>
        <v>28438.559999999998</v>
      </c>
      <c r="G55" s="6">
        <f>$B55*Prices!G55</f>
        <v>28924.559999999998</v>
      </c>
      <c r="H55" s="6">
        <f>$B55*Prices!H55</f>
        <v>28492.559999999998</v>
      </c>
      <c r="I55" s="6">
        <f>$B55*Prices!I55</f>
        <v>28254.959999999999</v>
      </c>
      <c r="J55" s="6">
        <f>$B55*Prices!J55</f>
        <v>28319.760000000002</v>
      </c>
      <c r="K55" s="6">
        <f>$B55*Prices!K55</f>
        <v>28222.559999999998</v>
      </c>
      <c r="L55" s="6">
        <f>$B55*Prices!L55</f>
        <v>28375.920000000002</v>
      </c>
      <c r="M55" s="6">
        <f>$B55*Prices!M55</f>
        <v>28872.719999999998</v>
      </c>
      <c r="N55" s="6">
        <f>$B55*Prices!N55</f>
        <v>29090.880000000001</v>
      </c>
      <c r="O55" s="6">
        <f>$B55*Prices!O55</f>
        <v>29363.040000000001</v>
      </c>
      <c r="P55" s="6">
        <f>$B55*Prices!P55</f>
        <v>29013.119999999999</v>
      </c>
      <c r="Q55" s="6">
        <f>$B55*Prices!Q55</f>
        <v>29568.239999999998</v>
      </c>
      <c r="R55" s="6">
        <f>$B55*Prices!R55</f>
        <v>29257.199999999997</v>
      </c>
      <c r="S55" s="6">
        <f>$B55*Prices!S55</f>
        <v>28581.119999999999</v>
      </c>
      <c r="T55" s="6">
        <f>$B55*Prices!T55</f>
        <v>28380.239999999998</v>
      </c>
      <c r="U55" s="6">
        <f>$B55*Prices!U55</f>
        <v>29032.559999999998</v>
      </c>
      <c r="V55" s="6">
        <f>$B55*Prices!V55</f>
        <v>28896.48</v>
      </c>
      <c r="W55" s="6">
        <f>$B55*Prices!W55</f>
        <v>28870.559999999998</v>
      </c>
      <c r="X55" s="6">
        <f>$B55*Prices!X55</f>
        <v>28285.199999999997</v>
      </c>
      <c r="Y55" s="6">
        <f>$B55*Prices!Y55</f>
        <v>28976.400000000001</v>
      </c>
      <c r="Z55" s="6">
        <f>$B55*Prices!Z55</f>
        <v>29058.48</v>
      </c>
      <c r="AA55" s="6">
        <f>$B55*Prices!AA55</f>
        <v>29160</v>
      </c>
      <c r="AB55" s="6">
        <f>$B55*Prices!AB55</f>
        <v>29259.360000000001</v>
      </c>
      <c r="AC55" s="6">
        <f>$B55*Prices!AC55</f>
        <v>29350.079999999998</v>
      </c>
      <c r="AD55" s="6">
        <f>$B55*Prices!AD55</f>
        <v>28944</v>
      </c>
      <c r="AE55" s="6">
        <f>$B55*Prices!AE55</f>
        <v>29075.760000000002</v>
      </c>
      <c r="AF55" s="6">
        <f>$B55*Prices!AF55</f>
        <v>28512</v>
      </c>
      <c r="AG55" s="6">
        <f>$B55*Prices!AG55</f>
        <v>28658.880000000001</v>
      </c>
      <c r="AH55" s="6">
        <f>$B55*Prices!AH55</f>
        <v>29052</v>
      </c>
      <c r="AI55" s="6">
        <f>$B55*Prices!AI55</f>
        <v>28760.400000000001</v>
      </c>
      <c r="AJ55" s="6">
        <f>$B55*Prices!AJ55</f>
        <v>29635.199999999997</v>
      </c>
      <c r="AK55" s="6">
        <f>$B55*Prices!AK55</f>
        <v>30222.719999999998</v>
      </c>
      <c r="AL55" s="6">
        <f>$B55*Prices!AL55</f>
        <v>30672</v>
      </c>
      <c r="AM55" s="6">
        <f>$B55*Prices!AM55</f>
        <v>30365.280000000002</v>
      </c>
      <c r="AN55" s="6">
        <f>$B55*Prices!AN55</f>
        <v>30248.639999999999</v>
      </c>
      <c r="AO55" s="6">
        <f>$B55*Prices!AO55</f>
        <v>30369.599999999999</v>
      </c>
      <c r="AP55" s="6">
        <f>$B55*Prices!AP55</f>
        <v>30473.280000000002</v>
      </c>
      <c r="AQ55" s="6">
        <f>$B55*Prices!AQ55</f>
        <v>30542.400000000001</v>
      </c>
      <c r="AR55" s="6">
        <f>$B55*Prices!AR55</f>
        <v>30704.400000000001</v>
      </c>
      <c r="AS55" s="6">
        <f>$B55*Prices!AS55</f>
        <v>30602.880000000001</v>
      </c>
      <c r="AT55" s="6">
        <f>$B55*Prices!AT55</f>
        <v>30771.360000000001</v>
      </c>
      <c r="AU55" s="6">
        <f>$B55*Prices!AU55</f>
        <v>30512.159999999996</v>
      </c>
      <c r="AV55" s="6">
        <f>$B55*Prices!AV55</f>
        <v>29995.920000000002</v>
      </c>
      <c r="AW55" s="6">
        <f>$B55*Prices!AW55</f>
        <v>30121.199999999997</v>
      </c>
      <c r="AX55" s="6">
        <f>$B55*Prices!AX55</f>
        <v>30294</v>
      </c>
      <c r="AY55" s="6">
        <f>$B55*Prices!AY55</f>
        <v>30758.400000000001</v>
      </c>
      <c r="AZ55" s="6">
        <f>$B55*Prices!AZ55</f>
        <v>30950.639999999999</v>
      </c>
      <c r="BA55" s="6">
        <f>$B55*Prices!BA55</f>
        <v>30661.199999999997</v>
      </c>
      <c r="BB55" s="6">
        <f>$B55*Prices!BB55</f>
        <v>31114.800000000003</v>
      </c>
      <c r="BC55" s="6">
        <f>$B55*Prices!BC55</f>
        <v>31369.679999999997</v>
      </c>
      <c r="BD55" s="6">
        <f>$B55*Prices!BD55</f>
        <v>31374</v>
      </c>
      <c r="BE55" s="6">
        <f>$B55*Prices!BE55</f>
        <v>32013.360000000001</v>
      </c>
      <c r="BF55" s="6">
        <f>$B55*Prices!BF55</f>
        <v>32117.040000000001</v>
      </c>
      <c r="BG55" s="6">
        <f>$B55*Prices!BG55</f>
        <v>32352.48</v>
      </c>
      <c r="BH55" s="6">
        <f>$B55*Prices!BH55</f>
        <v>32378.400000000001</v>
      </c>
      <c r="BI55" s="6">
        <f>$B55*Prices!BI55</f>
        <v>32464.800000000003</v>
      </c>
      <c r="BJ55" s="6">
        <f>$B55*Prices!BJ55</f>
        <v>32773.68</v>
      </c>
      <c r="BK55" s="6">
        <f>$B55*Prices!BK55</f>
        <v>32194.800000000003</v>
      </c>
      <c r="BL55" s="6">
        <f>$B55*Prices!BL55</f>
        <v>32644.079999999998</v>
      </c>
      <c r="BM55" s="6">
        <f>$B55*Prices!BM55</f>
        <v>32365.440000000002</v>
      </c>
      <c r="BN55" s="6">
        <f>$B55*Prices!BN55</f>
        <v>32225.040000000001</v>
      </c>
      <c r="BO55" s="6">
        <f>$B55*Prices!BO55</f>
        <v>32497.199999999997</v>
      </c>
      <c r="BP55" s="6">
        <f>$B55*Prices!BP55</f>
        <v>32391.360000000001</v>
      </c>
      <c r="BQ55" s="6">
        <f>$B55*Prices!BQ55</f>
        <v>32508</v>
      </c>
      <c r="BR55" s="6">
        <f>$B55*Prices!BR55</f>
        <v>32505.840000000004</v>
      </c>
      <c r="BS55" s="6">
        <f>$B55*Prices!BS55</f>
        <v>33030.719999999994</v>
      </c>
      <c r="BT55" s="6">
        <f>$B55*Prices!BT55</f>
        <v>34782.480000000003</v>
      </c>
      <c r="BU55" s="6">
        <f>$B55*Prices!BU55</f>
        <v>35253.360000000001</v>
      </c>
      <c r="BV55" s="6">
        <f>$B55*Prices!BV55</f>
        <v>35406.719999999994</v>
      </c>
      <c r="BW55" s="6">
        <f>$B55*Prices!BW55</f>
        <v>35849.519999999997</v>
      </c>
      <c r="BX55" s="6">
        <f>$B55*Prices!BX55</f>
        <v>35901.360000000001</v>
      </c>
      <c r="BY55" s="6">
        <f>$B55*Prices!BY55</f>
        <v>35769.599999999999</v>
      </c>
      <c r="BZ55" s="6">
        <f>$B55*Prices!BZ55</f>
        <v>36069.840000000004</v>
      </c>
      <c r="CA55" s="6">
        <f>$B55*Prices!CA55</f>
        <v>36017.818776</v>
      </c>
      <c r="CB55" s="6">
        <f>$B55*Prices!CB55</f>
        <v>35653.483584000001</v>
      </c>
      <c r="CC55" s="6">
        <f>$B55*Prices!CC55</f>
        <v>34937.670383999997</v>
      </c>
      <c r="CD55" s="6">
        <f>$B55*Prices!CD55</f>
        <v>34866.947015999998</v>
      </c>
      <c r="CE55" s="6">
        <f>$B55*Prices!CE55</f>
        <v>31804.381727999997</v>
      </c>
      <c r="CF55" s="6">
        <f>$B55*Prices!CF55</f>
        <v>30709.230407999999</v>
      </c>
      <c r="CG55" s="6">
        <f>$B55*Prices!CG55</f>
        <v>33484.614192000001</v>
      </c>
      <c r="CH55" s="6">
        <f>$B55*Prices!CH55</f>
        <v>33889.670352000001</v>
      </c>
      <c r="CI55" s="6">
        <f>$B55*Prices!CI55</f>
        <v>35053.399296000003</v>
      </c>
      <c r="CJ55" s="6">
        <f>$B55*Prices!CJ55</f>
        <v>34770.505824</v>
      </c>
      <c r="CK55" s="6">
        <f>$B55*Prices!CK55</f>
        <v>34466.178888000002</v>
      </c>
      <c r="CL55" s="6">
        <f>$B55*Prices!CL55</f>
        <v>32207.295383999997</v>
      </c>
      <c r="CM55" s="6">
        <f>$B55*Prices!CM55</f>
        <v>34151.133816000001</v>
      </c>
      <c r="CN55" s="6">
        <f>$B55*Prices!CN55</f>
        <v>32972.401944000005</v>
      </c>
      <c r="CO55" s="6">
        <f>$B55*Prices!CO55</f>
        <v>30782.158920000002</v>
      </c>
      <c r="CP55" s="6">
        <f>$B55*Prices!CP55</f>
        <v>33499.439136000001</v>
      </c>
      <c r="CQ55" s="6">
        <f>$B55*Prices!CQ55</f>
        <v>29337.121512000002</v>
      </c>
      <c r="CR55" s="6">
        <f>$B55*Prices!CR55</f>
        <v>31723.918919999996</v>
      </c>
      <c r="CS55" s="6">
        <f>$B55*Prices!CS55</f>
        <v>29874.959568000002</v>
      </c>
      <c r="CT55" s="6">
        <f>$B55*Prices!CT55</f>
        <v>28242</v>
      </c>
      <c r="CU55" s="6">
        <f>$B55*Prices!CU55</f>
        <v>27660.959568000002</v>
      </c>
      <c r="CV55" s="6">
        <f>$B55*Prices!CV55</f>
        <v>25267.680647999998</v>
      </c>
      <c r="CW55" s="6">
        <f>$B55*Prices!CW55</f>
        <v>26721.359784</v>
      </c>
      <c r="CX55" s="6">
        <f>$B55*Prices!CX55</f>
        <v>27639.359784</v>
      </c>
      <c r="CY55" s="6">
        <f>$B55*Prices!CY55</f>
        <v>30773.520216000001</v>
      </c>
      <c r="CZ55" s="6">
        <f>$B55*Prices!CZ55</f>
        <v>29568.239783999998</v>
      </c>
      <c r="DA55" s="6">
        <f>$B55*Prices!DA55</f>
        <v>31980.959568000002</v>
      </c>
      <c r="DB55" s="6">
        <f>$B55*Prices!DB55</f>
        <v>31190.398703999999</v>
      </c>
      <c r="DC55" s="6"/>
      <c r="DD55" s="6"/>
      <c r="DE55" s="6"/>
      <c r="DF55" s="6"/>
      <c r="DG55" s="6"/>
      <c r="DH55" s="6"/>
      <c r="DI55" s="6"/>
      <c r="DJ55" s="6"/>
    </row>
    <row r="56" spans="1:114">
      <c r="A56" s="2" t="s">
        <v>53</v>
      </c>
      <c r="C56" s="6">
        <f>SUM(C57:C62)</f>
        <v>130124.05000000002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>
        <f>SUM(BM57:BM62)</f>
        <v>148568.33999999997</v>
      </c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>
        <f>SUM(BZ57:BZ62)</f>
        <v>156194.25999999998</v>
      </c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</row>
    <row r="57" spans="1:114">
      <c r="A57" s="3" t="s">
        <v>54</v>
      </c>
      <c r="B57">
        <v>104</v>
      </c>
      <c r="C57" s="6">
        <f>$B57*Prices!C57</f>
        <v>25871.040000000001</v>
      </c>
      <c r="D57" s="6">
        <f>$B57*Prices!D57</f>
        <v>26605.279999999999</v>
      </c>
      <c r="E57" s="6">
        <f>$B57*Prices!E57</f>
        <v>26780</v>
      </c>
      <c r="F57" s="6">
        <f>$B57*Prices!F57</f>
        <v>26741.52</v>
      </c>
      <c r="G57" s="6">
        <f>$B57*Prices!G57</f>
        <v>26752.959999999999</v>
      </c>
      <c r="H57" s="6">
        <f>$B57*Prices!H57</f>
        <v>26980.720000000001</v>
      </c>
      <c r="I57" s="6">
        <f>$B57*Prices!I57</f>
        <v>27054.559999999998</v>
      </c>
      <c r="J57" s="6">
        <f>$B57*Prices!J57</f>
        <v>27268.799999999999</v>
      </c>
      <c r="K57" s="6">
        <f>$B57*Prices!K57</f>
        <v>27243.839999999997</v>
      </c>
      <c r="L57" s="6">
        <f>$B57*Prices!L57</f>
        <v>27504.880000000005</v>
      </c>
      <c r="M57" s="6">
        <f>$B57*Prices!M57</f>
        <v>27314.559999999998</v>
      </c>
      <c r="N57" s="6">
        <f>$B57*Prices!N57</f>
        <v>27639.040000000001</v>
      </c>
      <c r="O57" s="6">
        <f>$B57*Prices!O57</f>
        <v>27778.400000000001</v>
      </c>
      <c r="P57" s="6">
        <f>$B57*Prices!P57</f>
        <v>27694.160000000003</v>
      </c>
      <c r="Q57" s="6">
        <f>$B57*Prices!Q57</f>
        <v>27371.759999999998</v>
      </c>
      <c r="R57" s="6">
        <f>$B57*Prices!R57</f>
        <v>27249.040000000001</v>
      </c>
      <c r="S57" s="6">
        <f>$B57*Prices!S57</f>
        <v>27225.119999999995</v>
      </c>
      <c r="T57" s="6">
        <f>$B57*Prices!T57</f>
        <v>27702.48</v>
      </c>
      <c r="U57" s="6">
        <f>$B57*Prices!U57</f>
        <v>27486.160000000003</v>
      </c>
      <c r="V57" s="6">
        <f>$B57*Prices!V57</f>
        <v>27855.359999999997</v>
      </c>
      <c r="W57" s="6">
        <f>$B57*Prices!W57</f>
        <v>27794</v>
      </c>
      <c r="X57" s="6">
        <f>$B57*Prices!X57</f>
        <v>27472.640000000003</v>
      </c>
      <c r="Y57" s="6">
        <f>$B57*Prices!Y57</f>
        <v>26982.799999999999</v>
      </c>
      <c r="Z57" s="6">
        <f>$B57*Prices!Z57</f>
        <v>27220.959999999999</v>
      </c>
      <c r="AA57" s="6">
        <f>$B57*Prices!AA57</f>
        <v>27620.32</v>
      </c>
      <c r="AB57" s="6">
        <f>$B57*Prices!AB57</f>
        <v>28153.839999999997</v>
      </c>
      <c r="AC57" s="6">
        <f>$B57*Prices!AC57</f>
        <v>27759.68</v>
      </c>
      <c r="AD57" s="6">
        <f>$B57*Prices!AD57</f>
        <v>27921.920000000002</v>
      </c>
      <c r="AE57" s="6">
        <f>$B57*Prices!AE57</f>
        <v>28160.079999999998</v>
      </c>
      <c r="AF57" s="6">
        <f>$B57*Prices!AF57</f>
        <v>28231.839999999997</v>
      </c>
      <c r="AG57" s="6">
        <f>$B57*Prices!AG57</f>
        <v>28615.599999999999</v>
      </c>
      <c r="AH57" s="6">
        <f>$B57*Prices!AH57</f>
        <v>29105.440000000002</v>
      </c>
      <c r="AI57" s="6">
        <f>$B57*Prices!AI57</f>
        <v>29162.640000000003</v>
      </c>
      <c r="AJ57" s="6">
        <f>$B57*Prices!AJ57</f>
        <v>29092.959999999999</v>
      </c>
      <c r="AK57" s="6">
        <f>$B57*Prices!AK57</f>
        <v>29122.079999999998</v>
      </c>
      <c r="AL57" s="6">
        <f>$B57*Prices!AL57</f>
        <v>29061.759999999998</v>
      </c>
      <c r="AM57" s="6">
        <f>$B57*Prices!AM57</f>
        <v>29536</v>
      </c>
      <c r="AN57" s="6">
        <f>$B57*Prices!AN57</f>
        <v>29564.079999999998</v>
      </c>
      <c r="AO57" s="6">
        <f>$B57*Prices!AO57</f>
        <v>30150.640000000003</v>
      </c>
      <c r="AP57" s="6">
        <f>$B57*Prices!AP57</f>
        <v>30139.200000000001</v>
      </c>
      <c r="AQ57" s="6">
        <f>$B57*Prices!AQ57</f>
        <v>30318.079999999998</v>
      </c>
      <c r="AR57" s="6">
        <f>$B57*Prices!AR57</f>
        <v>30539.599999999999</v>
      </c>
      <c r="AS57" s="6">
        <f>$B57*Prices!AS57</f>
        <v>31236.400000000001</v>
      </c>
      <c r="AT57" s="6">
        <f>$B57*Prices!AT57</f>
        <v>30932.720000000001</v>
      </c>
      <c r="AU57" s="6">
        <f>$B57*Prices!AU57</f>
        <v>31179.200000000001</v>
      </c>
      <c r="AV57" s="6">
        <f>$B57*Prices!AV57</f>
        <v>31032.559999999998</v>
      </c>
      <c r="AW57" s="6">
        <f>$B57*Prices!AW57</f>
        <v>31531.759999999998</v>
      </c>
      <c r="AX57" s="6">
        <f>$B57*Prices!AX57</f>
        <v>32201.52</v>
      </c>
      <c r="AY57" s="6">
        <f>$B57*Prices!AY57</f>
        <v>32274.32</v>
      </c>
      <c r="AZ57" s="6">
        <f>$B57*Prices!AZ57</f>
        <v>32963.839999999997</v>
      </c>
      <c r="BA57" s="6">
        <f>$B57*Prices!BA57</f>
        <v>32518.720000000001</v>
      </c>
      <c r="BB57" s="6">
        <f>$B57*Prices!BB57</f>
        <v>32379.359999999997</v>
      </c>
      <c r="BC57" s="6">
        <f>$B57*Prices!BC57</f>
        <v>32784.959999999999</v>
      </c>
      <c r="BD57" s="6">
        <f>$B57*Prices!BD57</f>
        <v>33147.919999999998</v>
      </c>
      <c r="BE57" s="6">
        <f>$B57*Prices!BE57</f>
        <v>32923.279999999999</v>
      </c>
      <c r="BF57" s="6">
        <f>$B57*Prices!BF57</f>
        <v>33040.799999999996</v>
      </c>
      <c r="BG57" s="6">
        <f>$B57*Prices!BG57</f>
        <v>33199.919999999998</v>
      </c>
      <c r="BH57" s="6">
        <f>$B57*Prices!BH57</f>
        <v>33104.239999999998</v>
      </c>
      <c r="BI57" s="6">
        <f>$B57*Prices!BI57</f>
        <v>32130.799999999999</v>
      </c>
      <c r="BJ57" s="6">
        <f>$B57*Prices!BJ57</f>
        <v>33039.760000000002</v>
      </c>
      <c r="BK57" s="6">
        <f>$B57*Prices!BK57</f>
        <v>33731.360000000001</v>
      </c>
      <c r="BL57" s="6">
        <f>$B57*Prices!BL57</f>
        <v>33682.480000000003</v>
      </c>
      <c r="BM57" s="6">
        <f>$B57*Prices!BM57</f>
        <v>32189.040000000001</v>
      </c>
      <c r="BN57" s="6">
        <f>$B57*Prices!BN57</f>
        <v>32100.640000000003</v>
      </c>
      <c r="BO57" s="6">
        <f>$B57*Prices!BO57</f>
        <v>33160.400000000001</v>
      </c>
      <c r="BP57" s="6">
        <f>$B57*Prices!BP57</f>
        <v>33430.799999999996</v>
      </c>
      <c r="BQ57" s="6">
        <f>$B57*Prices!BQ57</f>
        <v>33821.839999999997</v>
      </c>
      <c r="BR57" s="6">
        <f>$B57*Prices!BR57</f>
        <v>33283.119999999995</v>
      </c>
      <c r="BS57" s="6">
        <f>$B57*Prices!BS57</f>
        <v>33441.200000000004</v>
      </c>
      <c r="BT57" s="6">
        <f>$B57*Prices!BT57</f>
        <v>33239.440000000002</v>
      </c>
      <c r="BU57" s="6">
        <f>$B57*Prices!BU57</f>
        <v>34028.799999999996</v>
      </c>
      <c r="BV57" s="6">
        <f>$B57*Prices!BV57</f>
        <v>33786.480000000003</v>
      </c>
      <c r="BW57" s="6">
        <f>$B57*Prices!BW57</f>
        <v>33794.799999999996</v>
      </c>
      <c r="BX57" s="6">
        <f>$B57*Prices!BX57</f>
        <v>33176</v>
      </c>
      <c r="BY57" s="6">
        <f>$B57*Prices!BY57</f>
        <v>33656.480000000003</v>
      </c>
      <c r="BZ57" s="6">
        <f>$B57*Prices!BZ57</f>
        <v>33311.200000000004</v>
      </c>
      <c r="CA57" s="6">
        <f>$B57*Prices!CA57</f>
        <v>32557.198751999997</v>
      </c>
      <c r="CB57" s="6">
        <f>$B57*Prices!CB57</f>
        <v>31010.719272000002</v>
      </c>
      <c r="CC57" s="6">
        <f>$B57*Prices!CC57</f>
        <v>29960.318648</v>
      </c>
      <c r="CD57" s="6">
        <f>$B57*Prices!CD57</f>
        <v>30435.599375999998</v>
      </c>
      <c r="CE57" s="6">
        <f>$B57*Prices!CE57</f>
        <v>28446.078856</v>
      </c>
      <c r="CF57" s="6">
        <f>$B57*Prices!CF57</f>
        <v>28429.438439999998</v>
      </c>
      <c r="CG57" s="6">
        <f>$B57*Prices!CG57</f>
        <v>31076.239792</v>
      </c>
      <c r="CH57" s="6">
        <f>$B57*Prices!CH57</f>
        <v>30089.280727999998</v>
      </c>
      <c r="CI57" s="6">
        <f>$B57*Prices!CI57</f>
        <v>31484.958959999996</v>
      </c>
      <c r="CJ57" s="6">
        <f>$B57*Prices!CJ57</f>
        <v>30463.681352</v>
      </c>
      <c r="CK57" s="6">
        <f>$B57*Prices!CK57</f>
        <v>30059.119895999997</v>
      </c>
      <c r="CL57" s="6">
        <f>$B57*Prices!CL57</f>
        <v>27681.681352</v>
      </c>
      <c r="CM57" s="6">
        <f>$B57*Prices!CM57</f>
        <v>29675.359583999998</v>
      </c>
      <c r="CN57" s="6">
        <f>$B57*Prices!CN57</f>
        <v>28644.719272000002</v>
      </c>
      <c r="CO57" s="6">
        <f>$B57*Prices!CO57</f>
        <v>25815.919583999999</v>
      </c>
      <c r="CP57" s="6">
        <f>$B57*Prices!CP57</f>
        <v>28908.880104000003</v>
      </c>
      <c r="CQ57" s="6">
        <f>$B57*Prices!CQ57</f>
        <v>25189.840727999999</v>
      </c>
      <c r="CR57" s="6">
        <f>$B57*Prices!CR57</f>
        <v>26297.440104000001</v>
      </c>
      <c r="CS57" s="6">
        <f>$B57*Prices!CS57</f>
        <v>25653.679791999999</v>
      </c>
      <c r="CT57" s="6">
        <f>$B57*Prices!CT57</f>
        <v>25457.119896</v>
      </c>
      <c r="CU57" s="6">
        <f>$B57*Prices!CU57</f>
        <v>23840.960520000001</v>
      </c>
      <c r="CV57" s="6">
        <f>$B57*Prices!CV57</f>
        <v>23334.479479999998</v>
      </c>
      <c r="CW57" s="6">
        <f>$B57*Prices!CW57</f>
        <v>25675.520520000002</v>
      </c>
      <c r="CX57" s="6">
        <f>$B57*Prices!CX57</f>
        <v>25534.080416000001</v>
      </c>
      <c r="CY57" s="6">
        <f>$B57*Prices!CY57</f>
        <v>26877.760208</v>
      </c>
      <c r="CZ57" s="6">
        <f>$B57*Prices!CZ57</f>
        <v>25764.960520000001</v>
      </c>
      <c r="DA57" s="6">
        <f>$B57*Prices!DA57</f>
        <v>26500.239792</v>
      </c>
      <c r="DB57" s="6">
        <f>$B57*Prices!DB57</f>
        <v>26446.159272000001</v>
      </c>
      <c r="DC57" s="6"/>
      <c r="DD57" s="6"/>
      <c r="DE57" s="6"/>
      <c r="DF57" s="6"/>
      <c r="DG57" s="6"/>
      <c r="DH57" s="6"/>
      <c r="DI57" s="6"/>
      <c r="DJ57" s="6"/>
    </row>
    <row r="58" spans="1:114">
      <c r="A58" s="3" t="s">
        <v>55</v>
      </c>
      <c r="B58">
        <v>228</v>
      </c>
      <c r="C58" s="6">
        <f>$B58*Prices!C58</f>
        <v>32688.36</v>
      </c>
      <c r="D58" s="6">
        <f>$B58*Prices!D58</f>
        <v>32768.159999999996</v>
      </c>
      <c r="E58" s="6">
        <f>$B58*Prices!E58</f>
        <v>32957.4</v>
      </c>
      <c r="F58" s="6">
        <f>$B58*Prices!F58</f>
        <v>32936.880000000005</v>
      </c>
      <c r="G58" s="6">
        <f>$B58*Prices!G58</f>
        <v>32845.68</v>
      </c>
      <c r="H58" s="6">
        <f>$B58*Prices!H58</f>
        <v>32891.279999999999</v>
      </c>
      <c r="I58" s="6">
        <f>$B58*Prices!I58</f>
        <v>33278.880000000005</v>
      </c>
      <c r="J58" s="6">
        <f>$B58*Prices!J58</f>
        <v>33313.08</v>
      </c>
      <c r="K58" s="6">
        <f>$B58*Prices!K58</f>
        <v>33531.96</v>
      </c>
      <c r="L58" s="6">
        <f>$B58*Prices!L58</f>
        <v>33586.68</v>
      </c>
      <c r="M58" s="6">
        <f>$B58*Prices!M58</f>
        <v>33757.68</v>
      </c>
      <c r="N58" s="6">
        <f>$B58*Prices!N58</f>
        <v>34193.159999999996</v>
      </c>
      <c r="O58" s="6">
        <f>$B58*Prices!O58</f>
        <v>34277.520000000004</v>
      </c>
      <c r="P58" s="6">
        <f>$B58*Prices!P58</f>
        <v>34288.92</v>
      </c>
      <c r="Q58" s="6">
        <f>$B58*Prices!Q58</f>
        <v>34113.360000000001</v>
      </c>
      <c r="R58" s="6">
        <f>$B58*Prices!R58</f>
        <v>34081.439999999995</v>
      </c>
      <c r="S58" s="6">
        <f>$B58*Prices!S58</f>
        <v>34106.520000000004</v>
      </c>
      <c r="T58" s="6">
        <f>$B58*Prices!T58</f>
        <v>34480.439999999995</v>
      </c>
      <c r="U58" s="6">
        <f>$B58*Prices!U58</f>
        <v>34662.840000000004</v>
      </c>
      <c r="V58" s="6">
        <f>$B58*Prices!V58</f>
        <v>34728.959999999999</v>
      </c>
      <c r="W58" s="6">
        <f>$B58*Prices!W58</f>
        <v>34514.639999999999</v>
      </c>
      <c r="X58" s="6">
        <f>$B58*Prices!X58</f>
        <v>34097.4</v>
      </c>
      <c r="Y58" s="6">
        <f>$B58*Prices!Y58</f>
        <v>34042.68</v>
      </c>
      <c r="Z58" s="6">
        <f>$B58*Prices!Z58</f>
        <v>34165.799999999996</v>
      </c>
      <c r="AA58" s="6">
        <f>$B58*Prices!AA58</f>
        <v>34184.04</v>
      </c>
      <c r="AB58" s="6">
        <f>$B58*Prices!AB58</f>
        <v>34599</v>
      </c>
      <c r="AC58" s="6">
        <f>$B58*Prices!AC58</f>
        <v>34510.080000000002</v>
      </c>
      <c r="AD58" s="6">
        <f>$B58*Prices!AD58</f>
        <v>34457.64</v>
      </c>
      <c r="AE58" s="6">
        <f>$B58*Prices!AE58</f>
        <v>34587.599999999999</v>
      </c>
      <c r="AF58" s="6">
        <f>$B58*Prices!AF58</f>
        <v>34938.720000000001</v>
      </c>
      <c r="AG58" s="6">
        <f>$B58*Prices!AG58</f>
        <v>35232.840000000004</v>
      </c>
      <c r="AH58" s="6">
        <f>$B58*Prices!AH58</f>
        <v>35460.840000000004</v>
      </c>
      <c r="AI58" s="6">
        <f>$B58*Prices!AI58</f>
        <v>35269.32</v>
      </c>
      <c r="AJ58" s="6">
        <f>$B58*Prices!AJ58</f>
        <v>35196.36</v>
      </c>
      <c r="AK58" s="6">
        <f>$B58*Prices!AK58</f>
        <v>35501.880000000005</v>
      </c>
      <c r="AL58" s="6">
        <f>$B58*Prices!AL58</f>
        <v>35889.479999999996</v>
      </c>
      <c r="AM58" s="6">
        <f>$B58*Prices!AM58</f>
        <v>35889.479999999996</v>
      </c>
      <c r="AN58" s="6">
        <f>$B58*Prices!AN58</f>
        <v>35882.639999999999</v>
      </c>
      <c r="AO58" s="6">
        <f>$B58*Prices!AO58</f>
        <v>36176.759999999995</v>
      </c>
      <c r="AP58" s="6">
        <f>$B58*Prices!AP58</f>
        <v>36242.880000000005</v>
      </c>
      <c r="AQ58" s="6">
        <f>$B58*Prices!AQ58</f>
        <v>35930.520000000004</v>
      </c>
      <c r="AR58" s="6">
        <f>$B58*Prices!AR58</f>
        <v>35955.599999999999</v>
      </c>
      <c r="AS58" s="6">
        <f>$B58*Prices!AS58</f>
        <v>36621.360000000001</v>
      </c>
      <c r="AT58" s="6">
        <f>$B58*Prices!AT58</f>
        <v>36165.360000000001</v>
      </c>
      <c r="AU58" s="6">
        <f>$B58*Prices!AU58</f>
        <v>36258.840000000004</v>
      </c>
      <c r="AV58" s="6">
        <f>$B58*Prices!AV58</f>
        <v>35928.240000000005</v>
      </c>
      <c r="AW58" s="6">
        <f>$B58*Prices!AW58</f>
        <v>36500.520000000004</v>
      </c>
      <c r="AX58" s="6">
        <f>$B58*Prices!AX58</f>
        <v>36956.520000000004</v>
      </c>
      <c r="AY58" s="6">
        <f>$B58*Prices!AY58</f>
        <v>36785.520000000004</v>
      </c>
      <c r="AZ58" s="6">
        <f>$B58*Prices!AZ58</f>
        <v>37227.840000000004</v>
      </c>
      <c r="BA58" s="6">
        <f>$B58*Prices!BA58</f>
        <v>36965.64</v>
      </c>
      <c r="BB58" s="6">
        <f>$B58*Prices!BB58</f>
        <v>37205.040000000001</v>
      </c>
      <c r="BC58" s="6">
        <f>$B58*Prices!BC58</f>
        <v>37886.759999999995</v>
      </c>
      <c r="BD58" s="6">
        <f>$B58*Prices!BD58</f>
        <v>38098.799999999996</v>
      </c>
      <c r="BE58" s="6">
        <f>$B58*Prices!BE58</f>
        <v>37962</v>
      </c>
      <c r="BF58" s="6">
        <f>$B58*Prices!BF58</f>
        <v>37779.599999999999</v>
      </c>
      <c r="BG58" s="6">
        <f>$B58*Prices!BG58</f>
        <v>38012.159999999996</v>
      </c>
      <c r="BH58" s="6">
        <f>$B58*Prices!BH58</f>
        <v>37629.119999999995</v>
      </c>
      <c r="BI58" s="6">
        <f>$B58*Prices!BI58</f>
        <v>36999.840000000004</v>
      </c>
      <c r="BJ58" s="6">
        <f>$B58*Prices!BJ58</f>
        <v>37724.880000000005</v>
      </c>
      <c r="BK58" s="6">
        <f>$B58*Prices!BK58</f>
        <v>38313.119999999995</v>
      </c>
      <c r="BL58" s="6">
        <f>$B58*Prices!BL58</f>
        <v>39393.840000000004</v>
      </c>
      <c r="BM58" s="6">
        <f>$B58*Prices!BM58</f>
        <v>38812.439999999995</v>
      </c>
      <c r="BN58" s="6">
        <f>$B58*Prices!BN58</f>
        <v>39758.639999999999</v>
      </c>
      <c r="BO58" s="6">
        <f>$B58*Prices!BO58</f>
        <v>41067.360000000001</v>
      </c>
      <c r="BP58" s="6">
        <f>$B58*Prices!BP58</f>
        <v>41017.200000000004</v>
      </c>
      <c r="BQ58" s="6">
        <f>$B58*Prices!BQ58</f>
        <v>41867.64</v>
      </c>
      <c r="BR58" s="6">
        <f>$B58*Prices!BR58</f>
        <v>41926.92</v>
      </c>
      <c r="BS58" s="6">
        <f>$B58*Prices!BS58</f>
        <v>43023.6</v>
      </c>
      <c r="BT58" s="6">
        <f>$B58*Prices!BT58</f>
        <v>42052.32</v>
      </c>
      <c r="BU58" s="6">
        <f>$B58*Prices!BU58</f>
        <v>42113.880000000005</v>
      </c>
      <c r="BV58" s="6">
        <f>$B58*Prices!BV58</f>
        <v>41885.880000000005</v>
      </c>
      <c r="BW58" s="6">
        <f>$B58*Prices!BW58</f>
        <v>42259.799999999996</v>
      </c>
      <c r="BX58" s="6">
        <f>$B58*Prices!BX58</f>
        <v>42688.439999999995</v>
      </c>
      <c r="BY58" s="6">
        <f>$B58*Prices!BY58</f>
        <v>42699.840000000004</v>
      </c>
      <c r="BZ58" s="6">
        <f>$B58*Prices!BZ58</f>
        <v>42047.759999999995</v>
      </c>
      <c r="CA58" s="6">
        <f>$B58*Prices!CA58</f>
        <v>40718.519088000001</v>
      </c>
      <c r="CB58" s="6">
        <f>$B58*Prices!CB58</f>
        <v>38962.919771999994</v>
      </c>
      <c r="CC58" s="6">
        <f>$B58*Prices!CC58</f>
        <v>38319.961596000001</v>
      </c>
      <c r="CD58" s="6">
        <f>$B58*Prices!CD58</f>
        <v>38798.759544</v>
      </c>
      <c r="CE58" s="6">
        <f>$B58*Prices!CE58</f>
        <v>36065.038403999999</v>
      </c>
      <c r="CF58" s="6">
        <f>$B58*Prices!CF58</f>
        <v>36938.278859999999</v>
      </c>
      <c r="CG58" s="6">
        <f>$B58*Prices!CG58</f>
        <v>39396.118404000001</v>
      </c>
      <c r="CH58" s="6">
        <f>$B58*Prices!CH58</f>
        <v>37508.278859999999</v>
      </c>
      <c r="CI58" s="6">
        <f>$B58*Prices!CI58</f>
        <v>38885.400684</v>
      </c>
      <c r="CJ58" s="6">
        <f>$B58*Prices!CJ58</f>
        <v>37909.560912000001</v>
      </c>
      <c r="CK58" s="6">
        <f>$B58*Prices!CK58</f>
        <v>36837.961596000001</v>
      </c>
      <c r="CL58" s="6">
        <f>$B58*Prices!CL58</f>
        <v>34341.35886</v>
      </c>
      <c r="CM58" s="6">
        <f>$B58*Prices!CM58</f>
        <v>36689.759544</v>
      </c>
      <c r="CN58" s="6">
        <f>$B58*Prices!CN58</f>
        <v>35027.64114</v>
      </c>
      <c r="CO58" s="6">
        <f>$B58*Prices!CO58</f>
        <v>31705.679544000002</v>
      </c>
      <c r="CP58" s="6">
        <f>$B58*Prices!CP58</f>
        <v>36213.240456</v>
      </c>
      <c r="CQ58" s="6">
        <f>$B58*Prices!CQ58</f>
        <v>30875.759543999997</v>
      </c>
      <c r="CR58" s="6">
        <f>$B58*Prices!CR58</f>
        <v>33417.961596000001</v>
      </c>
      <c r="CS58" s="6">
        <f>$B58*Prices!CS58</f>
        <v>32011.198632</v>
      </c>
      <c r="CT58" s="6">
        <f>$B58*Prices!CT58</f>
        <v>32537.881595999999</v>
      </c>
      <c r="CU58" s="6">
        <f>$B58*Prices!CU58</f>
        <v>31315.801368</v>
      </c>
      <c r="CV58" s="6">
        <f>$B58*Prices!CV58</f>
        <v>31003.439087999999</v>
      </c>
      <c r="CW58" s="6">
        <f>$B58*Prices!CW58</f>
        <v>33821.519088000001</v>
      </c>
      <c r="CX58" s="6">
        <f>$B58*Prices!CX58</f>
        <v>33497.759544</v>
      </c>
      <c r="CY58" s="6">
        <f>$B58*Prices!CY58</f>
        <v>35593.080228000006</v>
      </c>
      <c r="CZ58" s="6">
        <f>$B58*Prices!CZ58</f>
        <v>34131.599316</v>
      </c>
      <c r="DA58" s="6">
        <f>$B58*Prices!DA58</f>
        <v>36532.439087999999</v>
      </c>
      <c r="DB58" s="6">
        <f>$B58*Prices!DB58</f>
        <v>35957.881595999999</v>
      </c>
      <c r="DC58" s="6"/>
      <c r="DD58" s="6"/>
      <c r="DE58" s="6"/>
      <c r="DF58" s="6"/>
      <c r="DG58" s="6"/>
      <c r="DH58" s="6"/>
      <c r="DI58" s="6"/>
      <c r="DJ58" s="6"/>
    </row>
    <row r="59" spans="1:114">
      <c r="A59" s="3" t="s">
        <v>56</v>
      </c>
      <c r="B59">
        <v>182</v>
      </c>
      <c r="C59" s="6">
        <f>$B59*Prices!C59</f>
        <v>32552.520000000004</v>
      </c>
      <c r="D59" s="6">
        <f>$B59*Prices!D59</f>
        <v>32929.26</v>
      </c>
      <c r="E59" s="6">
        <f>$B59*Prices!E59</f>
        <v>32568.899999999998</v>
      </c>
      <c r="F59" s="6">
        <f>$B59*Prices!F59</f>
        <v>32099.34</v>
      </c>
      <c r="G59" s="6">
        <f>$B59*Prices!G59</f>
        <v>32172.140000000003</v>
      </c>
      <c r="H59" s="6">
        <f>$B59*Prices!H59</f>
        <v>32474.260000000002</v>
      </c>
      <c r="I59" s="6">
        <f>$B59*Prices!I59</f>
        <v>32572.54</v>
      </c>
      <c r="J59" s="6">
        <f>$B59*Prices!J59</f>
        <v>32676.28</v>
      </c>
      <c r="K59" s="6">
        <f>$B59*Prices!K59</f>
        <v>32712.68</v>
      </c>
      <c r="L59" s="6">
        <f>$B59*Prices!L59</f>
        <v>32652.62</v>
      </c>
      <c r="M59" s="6">
        <f>$B59*Prices!M59</f>
        <v>32714.5</v>
      </c>
      <c r="N59" s="6">
        <f>$B59*Prices!N59</f>
        <v>32718.140000000003</v>
      </c>
      <c r="O59" s="6">
        <f>$B59*Prices!O59</f>
        <v>32698.12</v>
      </c>
      <c r="P59" s="6">
        <f>$B59*Prices!P59</f>
        <v>33264.14</v>
      </c>
      <c r="Q59" s="6">
        <f>$B59*Prices!Q59</f>
        <v>33062.120000000003</v>
      </c>
      <c r="R59" s="6">
        <f>$B59*Prices!R59</f>
        <v>32739.979999999996</v>
      </c>
      <c r="S59" s="6">
        <f>$B59*Prices!S59</f>
        <v>32663.54</v>
      </c>
      <c r="T59" s="6">
        <f>$B59*Prices!T59</f>
        <v>32936.54</v>
      </c>
      <c r="U59" s="6">
        <f>$B59*Prices!U59</f>
        <v>33224.1</v>
      </c>
      <c r="V59" s="6">
        <f>$B59*Prices!V59</f>
        <v>33555.340000000004</v>
      </c>
      <c r="W59" s="6">
        <f>$B59*Prices!W59</f>
        <v>33580.82</v>
      </c>
      <c r="X59" s="6">
        <f>$B59*Prices!X59</f>
        <v>33085.78</v>
      </c>
      <c r="Y59" s="6">
        <f>$B59*Prices!Y59</f>
        <v>33105.800000000003</v>
      </c>
      <c r="Z59" s="6">
        <f>$B59*Prices!Z59</f>
        <v>32869.199999999997</v>
      </c>
      <c r="AA59" s="6">
        <f>$B59*Prices!AA59</f>
        <v>33103.979999999996</v>
      </c>
      <c r="AB59" s="6">
        <f>$B59*Prices!AB59</f>
        <v>33154.939999999995</v>
      </c>
      <c r="AC59" s="6">
        <f>$B59*Prices!AC59</f>
        <v>33291.439999999995</v>
      </c>
      <c r="AD59" s="6">
        <f>$B59*Prices!AD59</f>
        <v>33171.32</v>
      </c>
      <c r="AE59" s="6">
        <f>$B59*Prices!AE59</f>
        <v>33125.82</v>
      </c>
      <c r="AF59" s="6">
        <f>$B59*Prices!AF59</f>
        <v>33240.479999999996</v>
      </c>
      <c r="AG59" s="6">
        <f>$B59*Prices!AG59</f>
        <v>33695.479999999996</v>
      </c>
      <c r="AH59" s="6">
        <f>$B59*Prices!AH59</f>
        <v>33895.68</v>
      </c>
      <c r="AI59" s="6">
        <f>$B59*Prices!AI59</f>
        <v>33764.639999999999</v>
      </c>
      <c r="AJ59" s="6">
        <f>$B59*Prices!AJ59</f>
        <v>33651.800000000003</v>
      </c>
      <c r="AK59" s="6">
        <f>$B59*Prices!AK59</f>
        <v>33950.28</v>
      </c>
      <c r="AL59" s="6">
        <f>$B59*Prices!AL59</f>
        <v>34216</v>
      </c>
      <c r="AM59" s="6">
        <f>$B59*Prices!AM59</f>
        <v>34048.560000000005</v>
      </c>
      <c r="AN59" s="6">
        <f>$B59*Prices!AN59</f>
        <v>34137.74</v>
      </c>
      <c r="AO59" s="6">
        <f>$B59*Prices!AO59</f>
        <v>34427.120000000003</v>
      </c>
      <c r="AP59" s="6">
        <f>$B59*Prices!AP59</f>
        <v>34468.979999999996</v>
      </c>
      <c r="AQ59" s="6">
        <f>$B59*Prices!AQ59</f>
        <v>34185.060000000005</v>
      </c>
      <c r="AR59" s="6">
        <f>$B59*Prices!AR59</f>
        <v>34197.800000000003</v>
      </c>
      <c r="AS59" s="6">
        <f>$B59*Prices!AS59</f>
        <v>34783.840000000004</v>
      </c>
      <c r="AT59" s="6">
        <f>$B59*Prices!AT59</f>
        <v>34507.199999999997</v>
      </c>
      <c r="AU59" s="6">
        <f>$B59*Prices!AU59</f>
        <v>34432.58</v>
      </c>
      <c r="AV59" s="6">
        <f>$B59*Prices!AV59</f>
        <v>34341.58</v>
      </c>
      <c r="AW59" s="6">
        <f>$B59*Prices!AW59</f>
        <v>34929.439999999995</v>
      </c>
      <c r="AX59" s="6">
        <f>$B59*Prices!AX59</f>
        <v>35171.5</v>
      </c>
      <c r="AY59" s="6">
        <f>$B59*Prices!AY59</f>
        <v>35266.14</v>
      </c>
      <c r="AZ59" s="6">
        <f>$B59*Prices!AZ59</f>
        <v>35550.060000000005</v>
      </c>
      <c r="BA59" s="6">
        <f>$B59*Prices!BA59</f>
        <v>35681.1</v>
      </c>
      <c r="BB59" s="6">
        <f>$B59*Prices!BB59</f>
        <v>36363.599999999999</v>
      </c>
      <c r="BC59" s="6">
        <f>$B59*Prices!BC59</f>
        <v>36572.9</v>
      </c>
      <c r="BD59" s="6">
        <f>$B59*Prices!BD59</f>
        <v>37255.4</v>
      </c>
      <c r="BE59" s="6">
        <f>$B59*Prices!BE59</f>
        <v>37726.78</v>
      </c>
      <c r="BF59" s="6">
        <f>$B59*Prices!BF59</f>
        <v>37837.800000000003</v>
      </c>
      <c r="BG59" s="6">
        <f>$B59*Prices!BG59</f>
        <v>37586.639999999999</v>
      </c>
      <c r="BH59" s="6">
        <f>$B59*Prices!BH59</f>
        <v>37310</v>
      </c>
      <c r="BI59" s="6">
        <f>$B59*Prices!BI59</f>
        <v>36707.58</v>
      </c>
      <c r="BJ59" s="6">
        <f>$B59*Prices!BJ59</f>
        <v>36918.699999999997</v>
      </c>
      <c r="BK59" s="6">
        <f>$B59*Prices!BK59</f>
        <v>37284.520000000004</v>
      </c>
      <c r="BL59" s="6">
        <f>$B59*Prices!BL59</f>
        <v>37894.22</v>
      </c>
      <c r="BM59" s="6">
        <f>$B59*Prices!BM59</f>
        <v>36212.54</v>
      </c>
      <c r="BN59" s="6">
        <f>$B59*Prices!BN59</f>
        <v>36547.42</v>
      </c>
      <c r="BO59" s="6">
        <f>$B59*Prices!BO59</f>
        <v>37047.919999999998</v>
      </c>
      <c r="BP59" s="6">
        <f>$B59*Prices!BP59</f>
        <v>36911.42</v>
      </c>
      <c r="BQ59" s="6">
        <f>$B59*Prices!BQ59</f>
        <v>36953.279999999999</v>
      </c>
      <c r="BR59" s="6">
        <f>$B59*Prices!BR59</f>
        <v>36898.68</v>
      </c>
      <c r="BS59" s="6">
        <f>$B59*Prices!BS59</f>
        <v>37490.18</v>
      </c>
      <c r="BT59" s="6">
        <f>$B59*Prices!BT59</f>
        <v>37117.08</v>
      </c>
      <c r="BU59" s="6">
        <f>$B59*Prices!BU59</f>
        <v>37754.080000000002</v>
      </c>
      <c r="BV59" s="6">
        <f>$B59*Prices!BV59</f>
        <v>37746.800000000003</v>
      </c>
      <c r="BW59" s="6">
        <f>$B59*Prices!BW59</f>
        <v>38272.78</v>
      </c>
      <c r="BX59" s="6">
        <f>$B59*Prices!BX59</f>
        <v>38438.400000000001</v>
      </c>
      <c r="BY59" s="6">
        <f>$B59*Prices!BY59</f>
        <v>38822.42</v>
      </c>
      <c r="BZ59" s="6">
        <f>$B59*Prices!BZ59</f>
        <v>38483.9</v>
      </c>
      <c r="CA59" s="6">
        <f>$B59*Prices!CA59</f>
        <v>38003.419635999999</v>
      </c>
      <c r="CB59" s="6">
        <f>$B59*Prices!CB59</f>
        <v>36179.778726000004</v>
      </c>
      <c r="CC59" s="6">
        <f>$B59*Prices!CC59</f>
        <v>34288.798907999997</v>
      </c>
      <c r="CD59" s="6">
        <f>$B59*Prices!CD59</f>
        <v>34072.221273999996</v>
      </c>
      <c r="CE59" s="6">
        <f>$B59*Prices!CE59</f>
        <v>32761.819090000001</v>
      </c>
      <c r="CF59" s="6">
        <f>$B59*Prices!CF59</f>
        <v>33080.319089999997</v>
      </c>
      <c r="CG59" s="6">
        <f>$B59*Prices!CG59</f>
        <v>35004.060364000004</v>
      </c>
      <c r="CH59" s="6">
        <f>$B59*Prices!CH59</f>
        <v>33802.859272000002</v>
      </c>
      <c r="CI59" s="6">
        <f>$B59*Prices!CI59</f>
        <v>35360.778726000004</v>
      </c>
      <c r="CJ59" s="6">
        <f>$B59*Prices!CJ59</f>
        <v>34026.721273999996</v>
      </c>
      <c r="CK59" s="6">
        <f>$B59*Prices!CK59</f>
        <v>33553.520182</v>
      </c>
      <c r="CL59" s="6">
        <f>$B59*Prices!CL59</f>
        <v>31145.660910000002</v>
      </c>
      <c r="CM59" s="6">
        <f>$B59*Prices!CM59</f>
        <v>33233.201092000003</v>
      </c>
      <c r="CN59" s="6">
        <f>$B59*Prices!CN59</f>
        <v>31476.899453999999</v>
      </c>
      <c r="CO59" s="6">
        <f>$B59*Prices!CO59</f>
        <v>29134.560364000001</v>
      </c>
      <c r="CP59" s="6">
        <f>$B59*Prices!CP59</f>
        <v>32001.060364000001</v>
      </c>
      <c r="CQ59" s="6">
        <f>$B59*Prices!CQ59</f>
        <v>27665.819090000001</v>
      </c>
      <c r="CR59" s="6">
        <f>$B59*Prices!CR59</f>
        <v>28735.979818</v>
      </c>
      <c r="CS59" s="6">
        <f>$B59*Prices!CS59</f>
        <v>27023.359272000002</v>
      </c>
      <c r="CT59" s="6">
        <f>$B59*Prices!CT59</f>
        <v>27709.5</v>
      </c>
      <c r="CU59" s="6">
        <f>$B59*Prices!CU59</f>
        <v>26723.060364000001</v>
      </c>
      <c r="CV59" s="6">
        <f>$B59*Prices!CV59</f>
        <v>24704.680909999999</v>
      </c>
      <c r="CW59" s="6">
        <f>$B59*Prices!CW59</f>
        <v>28124.459817999999</v>
      </c>
      <c r="CX59" s="6">
        <f>$B59*Prices!CX59</f>
        <v>29443.959817999999</v>
      </c>
      <c r="CY59" s="6">
        <f>$B59*Prices!CY59</f>
        <v>30736.160910000002</v>
      </c>
      <c r="CZ59" s="6">
        <f>$B59*Prices!CZ59</f>
        <v>29403.919636000002</v>
      </c>
      <c r="DA59" s="6">
        <f>$B59*Prices!DA59</f>
        <v>30133.741274</v>
      </c>
      <c r="DB59" s="6">
        <f>$B59*Prices!DB59</f>
        <v>29323.839089999998</v>
      </c>
      <c r="DC59" s="6"/>
      <c r="DD59" s="6"/>
      <c r="DE59" s="6"/>
      <c r="DF59" s="6"/>
      <c r="DG59" s="6"/>
      <c r="DH59" s="6"/>
      <c r="DI59" s="6"/>
      <c r="DJ59" s="6"/>
    </row>
    <row r="60" spans="1:114">
      <c r="A60" s="3" t="s">
        <v>57</v>
      </c>
      <c r="B60">
        <v>99</v>
      </c>
      <c r="C60" s="6">
        <f>$B60*Prices!C60</f>
        <v>13125.420000000002</v>
      </c>
      <c r="D60" s="6">
        <f>$B60*Prices!D60</f>
        <v>13235.31</v>
      </c>
      <c r="E60" s="6">
        <f>$B60*Prices!E60</f>
        <v>13312.53</v>
      </c>
      <c r="F60" s="6">
        <f>$B60*Prices!F60</f>
        <v>13222.44</v>
      </c>
      <c r="G60" s="6">
        <f>$B60*Prices!G60</f>
        <v>13375.890000000001</v>
      </c>
      <c r="H60" s="6">
        <f>$B60*Prices!H60</f>
        <v>13372.920000000002</v>
      </c>
      <c r="I60" s="6">
        <f>$B60*Prices!I60</f>
        <v>13507.56</v>
      </c>
      <c r="J60" s="6">
        <f>$B60*Prices!J60</f>
        <v>13541.22</v>
      </c>
      <c r="K60" s="6">
        <f>$B60*Prices!K60</f>
        <v>13401.630000000001</v>
      </c>
      <c r="L60" s="6">
        <f>$B60*Prices!L60</f>
        <v>13295.7</v>
      </c>
      <c r="M60" s="6">
        <f>$B60*Prices!M60</f>
        <v>13306.59</v>
      </c>
      <c r="N60" s="6">
        <f>$B60*Prices!N60</f>
        <v>13412.519999999999</v>
      </c>
      <c r="O60" s="6">
        <f>$B60*Prices!O60</f>
        <v>13382.820000000002</v>
      </c>
      <c r="P60" s="6">
        <f>$B60*Prices!P60</f>
        <v>13438.26</v>
      </c>
      <c r="Q60" s="6">
        <f>$B60*Prices!Q60</f>
        <v>13365</v>
      </c>
      <c r="R60" s="6">
        <f>$B60*Prices!R60</f>
        <v>13407.570000000002</v>
      </c>
      <c r="S60" s="6">
        <f>$B60*Prices!S60</f>
        <v>13405.59</v>
      </c>
      <c r="T60" s="6">
        <f>$B60*Prices!T60</f>
        <v>13438.26</v>
      </c>
      <c r="U60" s="6">
        <f>$B60*Prices!U60</f>
        <v>13398.66</v>
      </c>
      <c r="V60" s="6">
        <f>$B60*Prices!V60</f>
        <v>13405.59</v>
      </c>
      <c r="W60" s="6">
        <f>$B60*Prices!W60</f>
        <v>13459.05</v>
      </c>
      <c r="X60" s="6">
        <f>$B60*Prices!X60</f>
        <v>13211.55</v>
      </c>
      <c r="Y60" s="6">
        <f>$B60*Prices!Y60</f>
        <v>13287.78</v>
      </c>
      <c r="Z60" s="6">
        <f>$B60*Prices!Z60</f>
        <v>13418.46</v>
      </c>
      <c r="AA60" s="6">
        <f>$B60*Prices!AA60</f>
        <v>13350.15</v>
      </c>
      <c r="AB60" s="6">
        <f>$B60*Prices!AB60</f>
        <v>13365</v>
      </c>
      <c r="AC60" s="6">
        <f>$B60*Prices!AC60</f>
        <v>13351.140000000001</v>
      </c>
      <c r="AD60" s="6">
        <f>$B60*Prices!AD60</f>
        <v>13335.3</v>
      </c>
      <c r="AE60" s="6">
        <f>$B60*Prices!AE60</f>
        <v>13356.09</v>
      </c>
      <c r="AF60" s="6">
        <f>$B60*Prices!AF60</f>
        <v>13533.3</v>
      </c>
      <c r="AG60" s="6">
        <f>$B60*Prices!AG60</f>
        <v>13711.5</v>
      </c>
      <c r="AH60" s="6">
        <f>$B60*Prices!AH60</f>
        <v>13799.609999999999</v>
      </c>
      <c r="AI60" s="6">
        <f>$B60*Prices!AI60</f>
        <v>13269.96</v>
      </c>
      <c r="AJ60" s="6">
        <f>$B60*Prices!AJ60</f>
        <v>13205.609999999999</v>
      </c>
      <c r="AK60" s="6">
        <f>$B60*Prices!AK60</f>
        <v>13174.920000000002</v>
      </c>
      <c r="AL60" s="6">
        <f>$B60*Prices!AL60</f>
        <v>13306.59</v>
      </c>
      <c r="AM60" s="6">
        <f>$B60*Prices!AM60</f>
        <v>13243.230000000001</v>
      </c>
      <c r="AN60" s="6">
        <f>$B60*Prices!AN60</f>
        <v>13226.4</v>
      </c>
      <c r="AO60" s="6">
        <f>$B60*Prices!AO60</f>
        <v>13323.420000000002</v>
      </c>
      <c r="AP60" s="6">
        <f>$B60*Prices!AP60</f>
        <v>13363.019999999999</v>
      </c>
      <c r="AQ60" s="6">
        <f>$B60*Prices!AQ60</f>
        <v>13205.609999999999</v>
      </c>
      <c r="AR60" s="6">
        <f>$B60*Prices!AR60</f>
        <v>13265.01</v>
      </c>
      <c r="AS60" s="6">
        <f>$B60*Prices!AS60</f>
        <v>13544.19</v>
      </c>
      <c r="AT60" s="6">
        <f>$B60*Prices!AT60</f>
        <v>13264.019999999999</v>
      </c>
      <c r="AU60" s="6">
        <f>$B60*Prices!AU60</f>
        <v>13285.8</v>
      </c>
      <c r="AV60" s="6">
        <f>$B60*Prices!AV60</f>
        <v>13228.380000000001</v>
      </c>
      <c r="AW60" s="6">
        <f>$B60*Prices!AW60</f>
        <v>13372.920000000002</v>
      </c>
      <c r="AX60" s="6">
        <f>$B60*Prices!AX60</f>
        <v>13575.869999999999</v>
      </c>
      <c r="AY60" s="6">
        <f>$B60*Prices!AY60</f>
        <v>13561.019999999999</v>
      </c>
      <c r="AZ60" s="6">
        <f>$B60*Prices!AZ60</f>
        <v>13694.670000000002</v>
      </c>
      <c r="BA60" s="6">
        <f>$B60*Prices!BA60</f>
        <v>13587.75</v>
      </c>
      <c r="BB60" s="6">
        <f>$B60*Prices!BB60</f>
        <v>13503.6</v>
      </c>
      <c r="BC60" s="6">
        <f>$B60*Prices!BC60</f>
        <v>13591.71</v>
      </c>
      <c r="BD60" s="6">
        <f>$B60*Prices!BD60</f>
        <v>13856.04</v>
      </c>
      <c r="BE60" s="6">
        <f>$B60*Prices!BE60</f>
        <v>13814.46</v>
      </c>
      <c r="BF60" s="6">
        <f>$B60*Prices!BF60</f>
        <v>13818.420000000002</v>
      </c>
      <c r="BG60" s="6">
        <f>$B60*Prices!BG60</f>
        <v>13675.859999999999</v>
      </c>
      <c r="BH60" s="6">
        <f>$B60*Prices!BH60</f>
        <v>13766.94</v>
      </c>
      <c r="BI60" s="6">
        <f>$B60*Prices!BI60</f>
        <v>13488.75</v>
      </c>
      <c r="BJ60" s="6">
        <f>$B60*Prices!BJ60</f>
        <v>13113.54</v>
      </c>
      <c r="BK60" s="6">
        <f>$B60*Prices!BK60</f>
        <v>13033.35</v>
      </c>
      <c r="BL60" s="6">
        <f>$B60*Prices!BL60</f>
        <v>12966.03</v>
      </c>
      <c r="BM60" s="6">
        <f>$B60*Prices!BM60</f>
        <v>12946.230000000001</v>
      </c>
      <c r="BN60" s="6">
        <f>$B60*Prices!BN60</f>
        <v>13131.359999999999</v>
      </c>
      <c r="BO60" s="6">
        <f>$B60*Prices!BO60</f>
        <v>13412.519999999999</v>
      </c>
      <c r="BP60" s="6">
        <f>$B60*Prices!BP60</f>
        <v>13604.579999999998</v>
      </c>
      <c r="BQ60" s="6">
        <f>$B60*Prices!BQ60</f>
        <v>13512.51</v>
      </c>
      <c r="BR60" s="6">
        <f>$B60*Prices!BR60</f>
        <v>13370.94</v>
      </c>
      <c r="BS60" s="6">
        <f>$B60*Prices!BS60</f>
        <v>13387.769999999999</v>
      </c>
      <c r="BT60" s="6">
        <f>$B60*Prices!BT60</f>
        <v>13518.45</v>
      </c>
      <c r="BU60" s="6">
        <f>$B60*Prices!BU60</f>
        <v>13677.84</v>
      </c>
      <c r="BV60" s="6">
        <f>$B60*Prices!BV60</f>
        <v>13607.55</v>
      </c>
      <c r="BW60" s="6">
        <f>$B60*Prices!BW60</f>
        <v>13606.56</v>
      </c>
      <c r="BX60" s="6">
        <f>$B60*Prices!BX60</f>
        <v>13638.24</v>
      </c>
      <c r="BY60" s="6">
        <f>$B60*Prices!BY60</f>
        <v>13830.3</v>
      </c>
      <c r="BZ60" s="6">
        <f>$B60*Prices!BZ60</f>
        <v>13704.570000000002</v>
      </c>
      <c r="CA60" s="6">
        <f>$B60*Prices!CA60</f>
        <v>13526.370495000001</v>
      </c>
      <c r="CB60" s="6">
        <f>$B60*Prices!CB60</f>
        <v>12961.079801999998</v>
      </c>
      <c r="CC60" s="6">
        <f>$B60*Prices!CC60</f>
        <v>12650.219901</v>
      </c>
      <c r="CD60" s="6">
        <f>$B60*Prices!CD60</f>
        <v>12563.100198</v>
      </c>
      <c r="CE60" s="6">
        <f>$B60*Prices!CE60</f>
        <v>12356.189801999999</v>
      </c>
      <c r="CF60" s="6">
        <f>$B60*Prices!CF60</f>
        <v>12233.429999999998</v>
      </c>
      <c r="CG60" s="6">
        <f>$B60*Prices!CG60</f>
        <v>12526.469901</v>
      </c>
      <c r="CH60" s="6">
        <f>$B60*Prices!CH60</f>
        <v>12256.200297000001</v>
      </c>
      <c r="CI60" s="6">
        <f>$B60*Prices!CI60</f>
        <v>12440.340396</v>
      </c>
      <c r="CJ60" s="6">
        <f>$B60*Prices!CJ60</f>
        <v>12006.719901</v>
      </c>
      <c r="CK60" s="6">
        <f>$B60*Prices!CK60</f>
        <v>12027.509802</v>
      </c>
      <c r="CL60" s="6">
        <f>$B60*Prices!CL60</f>
        <v>11038.5</v>
      </c>
      <c r="CM60" s="6">
        <f>$B60*Prices!CM60</f>
        <v>11681.009802</v>
      </c>
      <c r="CN60" s="6">
        <f>$B60*Prices!CN60</f>
        <v>11149.380297</v>
      </c>
      <c r="CO60" s="6">
        <f>$B60*Prices!CO60</f>
        <v>10042.560198000001</v>
      </c>
      <c r="CP60" s="6">
        <f>$B60*Prices!CP60</f>
        <v>10726.649802</v>
      </c>
      <c r="CQ60" s="6">
        <f>$B60*Prices!CQ60</f>
        <v>9651.5098020000005</v>
      </c>
      <c r="CR60" s="6">
        <f>$B60*Prices!CR60</f>
        <v>10193.039901</v>
      </c>
      <c r="CS60" s="6">
        <f>$B60*Prices!CS60</f>
        <v>9598.0497029999988</v>
      </c>
      <c r="CT60" s="6">
        <f>$B60*Prices!CT60</f>
        <v>9318.8697030000003</v>
      </c>
      <c r="CU60" s="6">
        <f>$B60*Prices!CU60</f>
        <v>9335.7002970000012</v>
      </c>
      <c r="CV60" s="6">
        <f>$B60*Prices!CV60</f>
        <v>9733.6799999999985</v>
      </c>
      <c r="CW60" s="6">
        <f>$B60*Prices!CW60</f>
        <v>10491.030099</v>
      </c>
      <c r="CX60" s="6">
        <f>$B60*Prices!CX60</f>
        <v>10533.600198</v>
      </c>
      <c r="CY60" s="6">
        <f>$B60*Prices!CY60</f>
        <v>11409.75</v>
      </c>
      <c r="CZ60" s="6">
        <f>$B60*Prices!CZ60</f>
        <v>10917.719901</v>
      </c>
      <c r="DA60" s="6">
        <f>$B60*Prices!DA60</f>
        <v>11177.100198</v>
      </c>
      <c r="DB60" s="6">
        <f>$B60*Prices!DB60</f>
        <v>10939.5</v>
      </c>
      <c r="DC60" s="6"/>
      <c r="DD60" s="6"/>
      <c r="DE60" s="6"/>
      <c r="DF60" s="6"/>
      <c r="DG60" s="6"/>
      <c r="DH60" s="6"/>
      <c r="DI60" s="6"/>
      <c r="DJ60" s="6"/>
    </row>
    <row r="61" spans="1:114">
      <c r="A61" s="3" t="s">
        <v>58</v>
      </c>
      <c r="B61">
        <v>112</v>
      </c>
      <c r="C61" s="6">
        <f>$B61*Prices!C61</f>
        <v>12921.44</v>
      </c>
      <c r="D61" s="6">
        <f>$B61*Prices!D61</f>
        <v>13194.720000000001</v>
      </c>
      <c r="E61" s="6">
        <f>$B61*Prices!E61</f>
        <v>12797.12</v>
      </c>
      <c r="F61" s="6">
        <f>$B61*Prices!F61</f>
        <v>12909.12</v>
      </c>
      <c r="G61" s="6">
        <f>$B61*Prices!G61</f>
        <v>12804.96</v>
      </c>
      <c r="H61" s="6">
        <f>$B61*Prices!H61</f>
        <v>12791.519999999999</v>
      </c>
      <c r="I61" s="6">
        <f>$B61*Prices!I61</f>
        <v>13014.4</v>
      </c>
      <c r="J61" s="6">
        <f>$B61*Prices!J61</f>
        <v>13028.96</v>
      </c>
      <c r="K61" s="6">
        <f>$B61*Prices!K61</f>
        <v>13148.800000000001</v>
      </c>
      <c r="L61" s="6">
        <f>$B61*Prices!L61</f>
        <v>13226.08</v>
      </c>
      <c r="M61" s="6">
        <f>$B61*Prices!M61</f>
        <v>13117.44</v>
      </c>
      <c r="N61" s="6">
        <f>$B61*Prices!N61</f>
        <v>13219.36</v>
      </c>
      <c r="O61" s="6">
        <f>$B61*Prices!O61</f>
        <v>13209.279999999999</v>
      </c>
      <c r="P61" s="6">
        <f>$B61*Prices!P61</f>
        <v>13249.6</v>
      </c>
      <c r="Q61" s="6">
        <f>$B61*Prices!Q61</f>
        <v>13394.08</v>
      </c>
      <c r="R61" s="6">
        <f>$B61*Prices!R61</f>
        <v>13440</v>
      </c>
      <c r="S61" s="6">
        <f>$B61*Prices!S61</f>
        <v>13278.720000000001</v>
      </c>
      <c r="T61" s="6">
        <f>$B61*Prices!T61</f>
        <v>13267.519999999999</v>
      </c>
      <c r="U61" s="6">
        <f>$B61*Prices!U61</f>
        <v>13221.6</v>
      </c>
      <c r="V61" s="6">
        <f>$B61*Prices!V61</f>
        <v>13382.88</v>
      </c>
      <c r="W61" s="6">
        <f>$B61*Prices!W61</f>
        <v>13293.279999999999</v>
      </c>
      <c r="X61" s="6">
        <f>$B61*Prices!X61</f>
        <v>13287.68</v>
      </c>
      <c r="Y61" s="6">
        <f>$B61*Prices!Y61</f>
        <v>13358.24</v>
      </c>
      <c r="Z61" s="6">
        <f>$B61*Prices!Z61</f>
        <v>13369.44</v>
      </c>
      <c r="AA61" s="6">
        <f>$B61*Prices!AA61</f>
        <v>13259.68</v>
      </c>
      <c r="AB61" s="6">
        <f>$B61*Prices!AB61</f>
        <v>12910.24</v>
      </c>
      <c r="AC61" s="6">
        <f>$B61*Prices!AC61</f>
        <v>12893.44</v>
      </c>
      <c r="AD61" s="6">
        <f>$B61*Prices!AD61</f>
        <v>12743.36</v>
      </c>
      <c r="AE61" s="6">
        <f>$B61*Prices!AE61</f>
        <v>12654.88</v>
      </c>
      <c r="AF61" s="6">
        <f>$B61*Prices!AF61</f>
        <v>12640.32</v>
      </c>
      <c r="AG61" s="6">
        <f>$B61*Prices!AG61</f>
        <v>12723.199999999999</v>
      </c>
      <c r="AH61" s="6">
        <f>$B61*Prices!AH61</f>
        <v>12731.04</v>
      </c>
      <c r="AI61" s="6">
        <f>$B61*Prices!AI61</f>
        <v>12981.92</v>
      </c>
      <c r="AJ61" s="6">
        <f>$B61*Prices!AJ61</f>
        <v>13003.199999999999</v>
      </c>
      <c r="AK61" s="6">
        <f>$B61*Prices!AK61</f>
        <v>13242.88</v>
      </c>
      <c r="AL61" s="6">
        <f>$B61*Prices!AL61</f>
        <v>12968.480000000001</v>
      </c>
      <c r="AM61" s="6">
        <f>$B61*Prices!AM61</f>
        <v>13023.36</v>
      </c>
      <c r="AN61" s="6">
        <f>$B61*Prices!AN61</f>
        <v>12928.16</v>
      </c>
      <c r="AO61" s="6">
        <f>$B61*Prices!AO61</f>
        <v>12850.88</v>
      </c>
      <c r="AP61" s="6">
        <f>$B61*Prices!AP61</f>
        <v>12804.96</v>
      </c>
      <c r="AQ61" s="6">
        <f>$B61*Prices!AQ61</f>
        <v>12938.24</v>
      </c>
      <c r="AR61" s="6">
        <f>$B61*Prices!AR61</f>
        <v>12855.36</v>
      </c>
      <c r="AS61" s="6">
        <f>$B61*Prices!AS61</f>
        <v>13129.76</v>
      </c>
      <c r="AT61" s="6">
        <f>$B61*Prices!AT61</f>
        <v>13232.800000000001</v>
      </c>
      <c r="AU61" s="6">
        <f>$B61*Prices!AU61</f>
        <v>13485.92</v>
      </c>
      <c r="AV61" s="6">
        <f>$B61*Prices!AV61</f>
        <v>13689.76</v>
      </c>
      <c r="AW61" s="6">
        <f>$B61*Prices!AW61</f>
        <v>13871.199999999999</v>
      </c>
      <c r="AX61" s="6">
        <f>$B61*Prices!AX61</f>
        <v>13649.44</v>
      </c>
      <c r="AY61" s="6">
        <f>$B61*Prices!AY61</f>
        <v>13646.08</v>
      </c>
      <c r="AZ61" s="6">
        <f>$B61*Prices!AZ61</f>
        <v>13591.199999999999</v>
      </c>
      <c r="BA61" s="6">
        <f>$B61*Prices!BA61</f>
        <v>13713.279999999999</v>
      </c>
      <c r="BB61" s="6">
        <f>$B61*Prices!BB61</f>
        <v>13825.279999999999</v>
      </c>
      <c r="BC61" s="6">
        <f>$B61*Prices!BC61</f>
        <v>14040.32</v>
      </c>
      <c r="BD61" s="6">
        <f>$B61*Prices!BD61</f>
        <v>13805.12</v>
      </c>
      <c r="BE61" s="6">
        <f>$B61*Prices!BE61</f>
        <v>13968.64</v>
      </c>
      <c r="BF61" s="6">
        <f>$B61*Prices!BF61</f>
        <v>14191.519999999999</v>
      </c>
      <c r="BG61" s="6">
        <f>$B61*Prices!BG61</f>
        <v>14241.92</v>
      </c>
      <c r="BH61" s="6">
        <f>$B61*Prices!BH61</f>
        <v>14400.960000000001</v>
      </c>
      <c r="BI61" s="6">
        <f>$B61*Prices!BI61</f>
        <v>14361.759999999998</v>
      </c>
      <c r="BJ61" s="6">
        <f>$B61*Prices!BJ61</f>
        <v>14350.56</v>
      </c>
      <c r="BK61" s="6">
        <f>$B61*Prices!BK61</f>
        <v>14334.88</v>
      </c>
      <c r="BL61" s="6">
        <f>$B61*Prices!BL61</f>
        <v>14099.68</v>
      </c>
      <c r="BM61" s="6">
        <f>$B61*Prices!BM61</f>
        <v>13754.720000000001</v>
      </c>
      <c r="BN61" s="6">
        <f>$B61*Prices!BN61</f>
        <v>13605.76</v>
      </c>
      <c r="BO61" s="6">
        <f>$B61*Prices!BO61</f>
        <v>14123.199999999999</v>
      </c>
      <c r="BP61" s="6">
        <f>$B61*Prices!BP61</f>
        <v>14283.36</v>
      </c>
      <c r="BQ61" s="6">
        <f>$B61*Prices!BQ61</f>
        <v>14119.84</v>
      </c>
      <c r="BR61" s="6">
        <f>$B61*Prices!BR61</f>
        <v>14188.16</v>
      </c>
      <c r="BS61" s="6">
        <f>$B61*Prices!BS61</f>
        <v>14364</v>
      </c>
      <c r="BT61" s="6">
        <f>$B61*Prices!BT61</f>
        <v>14300.16</v>
      </c>
      <c r="BU61" s="6">
        <f>$B61*Prices!BU61</f>
        <v>14123.199999999999</v>
      </c>
      <c r="BV61" s="6">
        <f>$B61*Prices!BV61</f>
        <v>14119.84</v>
      </c>
      <c r="BW61" s="6">
        <f>$B61*Prices!BW61</f>
        <v>14240.800000000001</v>
      </c>
      <c r="BX61" s="6">
        <f>$B61*Prices!BX61</f>
        <v>14165.76</v>
      </c>
      <c r="BY61" s="6">
        <f>$B61*Prices!BY61</f>
        <v>13941.76</v>
      </c>
      <c r="BZ61" s="6">
        <f>$B61*Prices!BZ61</f>
        <v>14079.519999999999</v>
      </c>
      <c r="CA61" s="6">
        <f>$B61*Prices!CA61</f>
        <v>13876.800224000001</v>
      </c>
      <c r="CB61" s="6">
        <f>$B61*Prices!CB61</f>
        <v>13576.640111999999</v>
      </c>
      <c r="CC61" s="6">
        <f>$B61*Prices!CC61</f>
        <v>13045.760335999999</v>
      </c>
      <c r="CD61" s="6">
        <f>$B61*Prices!CD61</f>
        <v>13007.679888000001</v>
      </c>
      <c r="CE61" s="6">
        <f>$B61*Prices!CE61</f>
        <v>12442.079551999999</v>
      </c>
      <c r="CF61" s="6">
        <f>$B61*Prices!CF61</f>
        <v>11944.800224000001</v>
      </c>
      <c r="CG61" s="6">
        <f>$B61*Prices!CG61</f>
        <v>12688.480112000001</v>
      </c>
      <c r="CH61" s="6">
        <f>$B61*Prices!CH61</f>
        <v>12028.800224000001</v>
      </c>
      <c r="CI61" s="6">
        <f>$B61*Prices!CI61</f>
        <v>12713.120224</v>
      </c>
      <c r="CJ61" s="6">
        <f>$B61*Prices!CJ61</f>
        <v>12700.800224000001</v>
      </c>
      <c r="CK61" s="6">
        <f>$B61*Prices!CK61</f>
        <v>12516</v>
      </c>
      <c r="CL61" s="6">
        <f>$B61*Prices!CL61</f>
        <v>11564</v>
      </c>
      <c r="CM61" s="6">
        <f>$B61*Prices!CM61</f>
        <v>12203.519887999999</v>
      </c>
      <c r="CN61" s="6">
        <f>$B61*Prices!CN61</f>
        <v>11568.480112000001</v>
      </c>
      <c r="CO61" s="6">
        <f>$B61*Prices!CO61</f>
        <v>10205.440336</v>
      </c>
      <c r="CP61" s="6">
        <f>$B61*Prices!CP61</f>
        <v>10918.879776</v>
      </c>
      <c r="CQ61" s="6">
        <f>$B61*Prices!CQ61</f>
        <v>11316.480112000001</v>
      </c>
      <c r="CR61" s="6">
        <f>$B61*Prices!CR61</f>
        <v>12489.120224</v>
      </c>
      <c r="CS61" s="6">
        <f>$B61*Prices!CS61</f>
        <v>11191.039776000001</v>
      </c>
      <c r="CT61" s="6">
        <f>$B61*Prices!CT61</f>
        <v>11073.440336</v>
      </c>
      <c r="CU61" s="6">
        <f>$B61*Prices!CU61</f>
        <v>10711.679888000001</v>
      </c>
      <c r="CV61" s="6">
        <f>$B61*Prices!CV61</f>
        <v>11225.760335999999</v>
      </c>
      <c r="CW61" s="6">
        <f>$B61*Prices!CW61</f>
        <v>11788</v>
      </c>
      <c r="CX61" s="6">
        <f>$B61*Prices!CX61</f>
        <v>11178.719776</v>
      </c>
      <c r="CY61" s="6">
        <f>$B61*Prices!CY61</f>
        <v>11454.239664000001</v>
      </c>
      <c r="CZ61" s="6">
        <f>$B61*Prices!CZ61</f>
        <v>11756.640111999999</v>
      </c>
      <c r="DA61" s="6">
        <f>$B61*Prices!DA61</f>
        <v>12056.800224000001</v>
      </c>
      <c r="DB61" s="6">
        <f>$B61*Prices!DB61</f>
        <v>11490.079551999999</v>
      </c>
      <c r="DC61" s="6"/>
      <c r="DD61" s="6"/>
      <c r="DE61" s="6"/>
      <c r="DF61" s="6"/>
      <c r="DG61" s="6"/>
      <c r="DH61" s="6"/>
      <c r="DI61" s="6"/>
      <c r="DJ61" s="6"/>
    </row>
    <row r="62" spans="1:114">
      <c r="A62" s="3" t="s">
        <v>59</v>
      </c>
      <c r="B62">
        <v>331</v>
      </c>
      <c r="C62" s="6">
        <f>$B62*Prices!C62</f>
        <v>12965.27</v>
      </c>
      <c r="D62" s="6">
        <f>$B62*Prices!D62</f>
        <v>13134.08</v>
      </c>
      <c r="E62" s="6">
        <f>$B62*Prices!E62</f>
        <v>13223.45</v>
      </c>
      <c r="F62" s="6">
        <f>$B62*Prices!F62</f>
        <v>13110.91</v>
      </c>
      <c r="G62" s="6">
        <f>$B62*Prices!G62</f>
        <v>13302.89</v>
      </c>
      <c r="H62" s="6">
        <f>$B62*Prices!H62</f>
        <v>13365.78</v>
      </c>
      <c r="I62" s="6">
        <f>$B62*Prices!I62</f>
        <v>13028.16</v>
      </c>
      <c r="J62" s="6">
        <f>$B62*Prices!J62</f>
        <v>13097.67</v>
      </c>
      <c r="K62" s="6">
        <f>$B62*Prices!K62</f>
        <v>13160.56</v>
      </c>
      <c r="L62" s="6">
        <f>$B62*Prices!L62</f>
        <v>13147.32</v>
      </c>
      <c r="M62" s="6">
        <f>$B62*Prices!M62</f>
        <v>13332.68</v>
      </c>
      <c r="N62" s="6">
        <f>$B62*Prices!N62</f>
        <v>13478.32</v>
      </c>
      <c r="O62" s="6">
        <f>$B62*Prices!O62</f>
        <v>13398.88</v>
      </c>
      <c r="P62" s="6">
        <f>$B62*Prices!P62</f>
        <v>13653.75</v>
      </c>
      <c r="Q62" s="6">
        <f>$B62*Prices!Q62</f>
        <v>13511.42</v>
      </c>
      <c r="R62" s="6">
        <f>$B62*Prices!R62</f>
        <v>13372.4</v>
      </c>
      <c r="S62" s="6">
        <f>$B62*Prices!S62</f>
        <v>13147.32</v>
      </c>
      <c r="T62" s="6">
        <f>$B62*Prices!T62</f>
        <v>13385.64</v>
      </c>
      <c r="U62" s="6">
        <f>$B62*Prices!U62</f>
        <v>13508.11</v>
      </c>
      <c r="V62" s="6">
        <f>$B62*Prices!V62</f>
        <v>13547.83</v>
      </c>
      <c r="W62" s="6">
        <f>$B62*Prices!W62</f>
        <v>13471.7</v>
      </c>
      <c r="X62" s="6">
        <f>$B62*Prices!X62</f>
        <v>13213.52</v>
      </c>
      <c r="Y62" s="6">
        <f>$B62*Prices!Y62</f>
        <v>13190.35</v>
      </c>
      <c r="Z62" s="6">
        <f>$B62*Prices!Z62</f>
        <v>13375.71</v>
      </c>
      <c r="AA62" s="6">
        <f>$B62*Prices!AA62</f>
        <v>13435.29</v>
      </c>
      <c r="AB62" s="6">
        <f>$B62*Prices!AB62</f>
        <v>13458.46</v>
      </c>
      <c r="AC62" s="6">
        <f>$B62*Prices!AC62</f>
        <v>13402.19</v>
      </c>
      <c r="AD62" s="6">
        <f>$B62*Prices!AD62</f>
        <v>13435.29</v>
      </c>
      <c r="AE62" s="6">
        <f>$B62*Prices!AE62</f>
        <v>13554.45</v>
      </c>
      <c r="AF62" s="6">
        <f>$B62*Prices!AF62</f>
        <v>13617.34</v>
      </c>
      <c r="AG62" s="6">
        <f>$B62*Prices!AG62</f>
        <v>13726.57</v>
      </c>
      <c r="AH62" s="6">
        <f>$B62*Prices!AH62</f>
        <v>13786.15</v>
      </c>
      <c r="AI62" s="6">
        <f>$B62*Prices!AI62</f>
        <v>13753.05</v>
      </c>
      <c r="AJ62" s="6">
        <f>$B62*Prices!AJ62</f>
        <v>13706.71</v>
      </c>
      <c r="AK62" s="6">
        <f>$B62*Prices!AK62</f>
        <v>13716.64</v>
      </c>
      <c r="AL62" s="6">
        <f>$B62*Prices!AL62</f>
        <v>14050.95</v>
      </c>
      <c r="AM62" s="6">
        <f>$B62*Prices!AM62</f>
        <v>14034.4</v>
      </c>
      <c r="AN62" s="6">
        <f>$B62*Prices!AN62</f>
        <v>14021.16</v>
      </c>
      <c r="AO62" s="6">
        <f>$B62*Prices!AO62</f>
        <v>14090.67</v>
      </c>
      <c r="AP62" s="6">
        <f>$B62*Prices!AP62</f>
        <v>14031.09</v>
      </c>
      <c r="AQ62" s="6">
        <f>$B62*Prices!AQ62</f>
        <v>13941.72</v>
      </c>
      <c r="AR62" s="6">
        <f>$B62*Prices!AR62</f>
        <v>13958.27</v>
      </c>
      <c r="AS62" s="6">
        <f>$B62*Prices!AS62</f>
        <v>14120.46</v>
      </c>
      <c r="AT62" s="6">
        <f>$B62*Prices!AT62</f>
        <v>14054.26</v>
      </c>
      <c r="AU62" s="6">
        <f>$B62*Prices!AU62</f>
        <v>14107.22</v>
      </c>
      <c r="AV62" s="6">
        <f>$B62*Prices!AV62</f>
        <v>14103.91</v>
      </c>
      <c r="AW62" s="6">
        <f>$B62*Prices!AW62</f>
        <v>14146.94</v>
      </c>
      <c r="AX62" s="6">
        <f>$B62*Prices!AX62</f>
        <v>14352.16</v>
      </c>
      <c r="AY62" s="6">
        <f>$B62*Prices!AY62</f>
        <v>14395.19</v>
      </c>
      <c r="AZ62" s="6">
        <f>$B62*Prices!AZ62</f>
        <v>14468.01</v>
      </c>
      <c r="BA62" s="6">
        <f>$B62*Prices!BA62</f>
        <v>14441.53</v>
      </c>
      <c r="BB62" s="6">
        <f>$B62*Prices!BB62</f>
        <v>14597.1</v>
      </c>
      <c r="BC62" s="6">
        <f>$B62*Prices!BC62</f>
        <v>14746.05</v>
      </c>
      <c r="BD62" s="6">
        <f>$B62*Prices!BD62</f>
        <v>14669.92</v>
      </c>
      <c r="BE62" s="6">
        <f>$B62*Prices!BE62</f>
        <v>14736.12</v>
      </c>
      <c r="BF62" s="6">
        <f>$B62*Prices!BF62</f>
        <v>14703.02</v>
      </c>
      <c r="BG62" s="6">
        <f>$B62*Prices!BG62</f>
        <v>14769.22</v>
      </c>
      <c r="BH62" s="6">
        <f>$B62*Prices!BH62</f>
        <v>14666.61</v>
      </c>
      <c r="BI62" s="6">
        <f>$B62*Prices!BI62</f>
        <v>14454.77</v>
      </c>
      <c r="BJ62" s="6">
        <f>$B62*Prices!BJ62</f>
        <v>14590.48</v>
      </c>
      <c r="BK62" s="6">
        <f>$B62*Prices!BK62</f>
        <v>14719.57</v>
      </c>
      <c r="BL62" s="6">
        <f>$B62*Prices!BL62</f>
        <v>14868.52</v>
      </c>
      <c r="BM62" s="6">
        <f>$B62*Prices!BM62</f>
        <v>14653.37</v>
      </c>
      <c r="BN62" s="6">
        <f>$B62*Prices!BN62</f>
        <v>14703.02</v>
      </c>
      <c r="BO62" s="6">
        <f>$B62*Prices!BO62</f>
        <v>14808.94</v>
      </c>
      <c r="BP62" s="6">
        <f>$B62*Prices!BP62</f>
        <v>14838.73</v>
      </c>
      <c r="BQ62" s="6">
        <f>$B62*Prices!BQ62</f>
        <v>14875.14</v>
      </c>
      <c r="BR62" s="6">
        <f>$B62*Prices!BR62</f>
        <v>14090.67</v>
      </c>
      <c r="BS62" s="6">
        <f>$B62*Prices!BS62</f>
        <v>14004.61</v>
      </c>
      <c r="BT62" s="6">
        <f>$B62*Prices!BT62</f>
        <v>13945.03</v>
      </c>
      <c r="BU62" s="6">
        <f>$B62*Prices!BU62</f>
        <v>14315.75</v>
      </c>
      <c r="BV62" s="6">
        <f>$B62*Prices!BV62</f>
        <v>14405.12</v>
      </c>
      <c r="BW62" s="6">
        <f>$B62*Prices!BW62</f>
        <v>14487.87</v>
      </c>
      <c r="BX62" s="6">
        <f>$B62*Prices!BX62</f>
        <v>14564</v>
      </c>
      <c r="BY62" s="6">
        <f>$B62*Prices!BY62</f>
        <v>14544.14</v>
      </c>
      <c r="BZ62" s="6">
        <f>$B62*Prices!BZ62</f>
        <v>14567.31</v>
      </c>
      <c r="CA62" s="6">
        <f>$B62*Prices!CA62</f>
        <v>14415.294609</v>
      </c>
      <c r="CB62" s="6">
        <f>$B62*Prices!CB62</f>
        <v>14246.906965</v>
      </c>
      <c r="CC62" s="6">
        <f>$B62*Prices!CC62</f>
        <v>13751.649539</v>
      </c>
      <c r="CD62" s="6">
        <f>$B62*Prices!CD62</f>
        <v>13784.666789000001</v>
      </c>
      <c r="CE62" s="6">
        <f>$B62*Prices!CE62</f>
        <v>13130.927225000001</v>
      </c>
      <c r="CF62" s="6">
        <f>$B62*Prices!CF62</f>
        <v>12698.401250000001</v>
      </c>
      <c r="CG62" s="6">
        <f>$B62*Prices!CG62</f>
        <v>13256.391782000001</v>
      </c>
      <c r="CH62" s="6">
        <f>$B62*Prices!CH62</f>
        <v>12840.375425</v>
      </c>
      <c r="CI62" s="6">
        <f>$B62*Prices!CI62</f>
        <v>13398.365957000002</v>
      </c>
      <c r="CJ62" s="6">
        <f>$B62*Prices!CJ62</f>
        <v>12863.487169</v>
      </c>
      <c r="CK62" s="6">
        <f>$B62*Prices!CK62</f>
        <v>12624.339669000001</v>
      </c>
      <c r="CL62" s="6">
        <f>$B62*Prices!CL62</f>
        <v>11916</v>
      </c>
      <c r="CM62" s="6">
        <f>$B62*Prices!CM62</f>
        <v>12276.79</v>
      </c>
      <c r="CN62" s="6">
        <f>$B62*Prices!CN62</f>
        <v>11902.759669000001</v>
      </c>
      <c r="CO62" s="6">
        <f>$B62*Prices!CO62</f>
        <v>10373.539999999999</v>
      </c>
      <c r="CP62" s="6">
        <f>$B62*Prices!CP62</f>
        <v>10916.38</v>
      </c>
      <c r="CQ62" s="6">
        <f>$B62*Prices!CQ62</f>
        <v>8970.1</v>
      </c>
      <c r="CR62" s="6">
        <f>$B62*Prices!CR62</f>
        <v>9003.200331</v>
      </c>
      <c r="CS62" s="6">
        <f>$B62*Prices!CS62</f>
        <v>7497.15</v>
      </c>
      <c r="CT62" s="6">
        <f>$B62*Prices!CT62</f>
        <v>8367.6803309999996</v>
      </c>
      <c r="CU62" s="6">
        <f>$B62*Prices!CU62</f>
        <v>8311.410331000001</v>
      </c>
      <c r="CV62" s="6">
        <f>$B62*Prices!CV62</f>
        <v>7844.700331</v>
      </c>
      <c r="CW62" s="6">
        <f>$B62*Prices!CW62</f>
        <v>8298.17</v>
      </c>
      <c r="CX62" s="6">
        <f>$B62*Prices!CX62</f>
        <v>8966.7899999999991</v>
      </c>
      <c r="CY62" s="6">
        <f>$B62*Prices!CY62</f>
        <v>9953.17</v>
      </c>
      <c r="CZ62" s="6">
        <f>$B62*Prices!CZ62</f>
        <v>9546.0399999999991</v>
      </c>
      <c r="DA62" s="6">
        <f>$B62*Prices!DA62</f>
        <v>9436.8100000000013</v>
      </c>
      <c r="DB62" s="6">
        <f>$B62*Prices!DB62</f>
        <v>9665.200331</v>
      </c>
      <c r="DC62" s="6"/>
      <c r="DD62" s="6"/>
      <c r="DE62" s="6"/>
      <c r="DF62" s="6"/>
      <c r="DG62" s="6"/>
      <c r="DH62" s="6"/>
      <c r="DI62" s="6"/>
      <c r="DJ62" s="6"/>
    </row>
    <row r="63" spans="1:114">
      <c r="A63" s="2" t="s">
        <v>60</v>
      </c>
      <c r="C63" s="6">
        <f>SUM(C64:C66)</f>
        <v>89993.77</v>
      </c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>
        <f>SUM(BM64:BM66)</f>
        <v>98865.87</v>
      </c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>
        <f>SUM(BZ64:BZ66)</f>
        <v>102241.07</v>
      </c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</row>
    <row r="64" spans="1:114">
      <c r="A64" s="3" t="s">
        <v>61</v>
      </c>
      <c r="B64">
        <v>125</v>
      </c>
      <c r="C64" s="6">
        <f>$B64*Prices!C64</f>
        <v>29792.5</v>
      </c>
      <c r="D64" s="6">
        <f>$B64*Prices!D64</f>
        <v>29463.75</v>
      </c>
      <c r="E64" s="6">
        <f>$B64*Prices!E64</f>
        <v>28700</v>
      </c>
      <c r="F64" s="6">
        <f>$B64*Prices!F64</f>
        <v>28388.75</v>
      </c>
      <c r="G64" s="6">
        <f>$B64*Prices!G64</f>
        <v>28436.25</v>
      </c>
      <c r="H64" s="6">
        <f>$B64*Prices!H64</f>
        <v>27886.25</v>
      </c>
      <c r="I64" s="6">
        <f>$B64*Prices!I64</f>
        <v>27760</v>
      </c>
      <c r="J64" s="6">
        <f>$B64*Prices!J64</f>
        <v>27777.5</v>
      </c>
      <c r="K64" s="6">
        <f>$B64*Prices!K64</f>
        <v>27902.5</v>
      </c>
      <c r="L64" s="6">
        <f>$B64*Prices!L64</f>
        <v>28488.75</v>
      </c>
      <c r="M64" s="6">
        <f>$B64*Prices!M64</f>
        <v>28733.75</v>
      </c>
      <c r="N64" s="6">
        <f>$B64*Prices!N64</f>
        <v>28927.5</v>
      </c>
      <c r="O64" s="6">
        <f>$B64*Prices!O64</f>
        <v>29020</v>
      </c>
      <c r="P64" s="6">
        <f>$B64*Prices!P64</f>
        <v>29082.5</v>
      </c>
      <c r="Q64" s="6">
        <f>$B64*Prices!Q64</f>
        <v>29402.5</v>
      </c>
      <c r="R64" s="6">
        <f>$B64*Prices!R64</f>
        <v>29392.5</v>
      </c>
      <c r="S64" s="6">
        <f>$B64*Prices!S64</f>
        <v>29172.5</v>
      </c>
      <c r="T64" s="6">
        <f>$B64*Prices!T64</f>
        <v>29070</v>
      </c>
      <c r="U64" s="6">
        <f>$B64*Prices!U64</f>
        <v>29365</v>
      </c>
      <c r="V64" s="6">
        <f>$B64*Prices!V64</f>
        <v>29133.75</v>
      </c>
      <c r="W64" s="6">
        <f>$B64*Prices!W64</f>
        <v>29227.5</v>
      </c>
      <c r="X64" s="6">
        <f>$B64*Prices!X64</f>
        <v>28906.25</v>
      </c>
      <c r="Y64" s="6">
        <f>$B64*Prices!Y64</f>
        <v>29028.75</v>
      </c>
      <c r="Z64" s="6">
        <f>$B64*Prices!Z64</f>
        <v>29282.5</v>
      </c>
      <c r="AA64" s="6">
        <f>$B64*Prices!AA64</f>
        <v>29320</v>
      </c>
      <c r="AB64" s="6">
        <f>$B64*Prices!AB64</f>
        <v>29298.75</v>
      </c>
      <c r="AC64" s="6">
        <f>$B64*Prices!AC64</f>
        <v>29283.75</v>
      </c>
      <c r="AD64" s="6">
        <f>$B64*Prices!AD64</f>
        <v>29306.25</v>
      </c>
      <c r="AE64" s="6">
        <f>$B64*Prices!AE64</f>
        <v>29472.5</v>
      </c>
      <c r="AF64" s="6">
        <f>$B64*Prices!AF64</f>
        <v>29237.5</v>
      </c>
      <c r="AG64" s="6">
        <f>$B64*Prices!AG64</f>
        <v>29618.75</v>
      </c>
      <c r="AH64" s="6">
        <f>$B64*Prices!AH64</f>
        <v>29933.75</v>
      </c>
      <c r="AI64" s="6">
        <f>$B64*Prices!AI64</f>
        <v>29977.5</v>
      </c>
      <c r="AJ64" s="6">
        <f>$B64*Prices!AJ64</f>
        <v>30036.25</v>
      </c>
      <c r="AK64" s="6">
        <f>$B64*Prices!AK64</f>
        <v>30081.25</v>
      </c>
      <c r="AL64" s="6">
        <f>$B64*Prices!AL64</f>
        <v>30338.75</v>
      </c>
      <c r="AM64" s="6">
        <f>$B64*Prices!AM64</f>
        <v>29847.5</v>
      </c>
      <c r="AN64" s="6">
        <f>$B64*Prices!AN64</f>
        <v>30063.75</v>
      </c>
      <c r="AO64" s="6">
        <f>$B64*Prices!AO64</f>
        <v>30245</v>
      </c>
      <c r="AP64" s="6">
        <f>$B64*Prices!AP64</f>
        <v>30313.75</v>
      </c>
      <c r="AQ64" s="6">
        <f>$B64*Prices!AQ64</f>
        <v>30161.25</v>
      </c>
      <c r="AR64" s="6">
        <f>$B64*Prices!AR64</f>
        <v>30270</v>
      </c>
      <c r="AS64" s="6">
        <f>$B64*Prices!AS64</f>
        <v>29827.5</v>
      </c>
      <c r="AT64" s="6">
        <f>$B64*Prices!AT64</f>
        <v>30040</v>
      </c>
      <c r="AU64" s="6">
        <f>$B64*Prices!AU64</f>
        <v>30190</v>
      </c>
      <c r="AV64" s="6">
        <f>$B64*Prices!AV64</f>
        <v>30163.75</v>
      </c>
      <c r="AW64" s="6">
        <f>$B64*Prices!AW64</f>
        <v>30150</v>
      </c>
      <c r="AX64" s="6">
        <f>$B64*Prices!AX64</f>
        <v>30386.25</v>
      </c>
      <c r="AY64" s="6">
        <f>$B64*Prices!AY64</f>
        <v>30443.75</v>
      </c>
      <c r="AZ64" s="6">
        <f>$B64*Prices!AZ64</f>
        <v>30800</v>
      </c>
      <c r="BA64" s="6">
        <f>$B64*Prices!BA64</f>
        <v>30966.25</v>
      </c>
      <c r="BB64" s="6">
        <f>$B64*Prices!BB64</f>
        <v>31447.5</v>
      </c>
      <c r="BC64" s="6">
        <f>$B64*Prices!BC64</f>
        <v>31533.75</v>
      </c>
      <c r="BD64" s="6">
        <f>$B64*Prices!BD64</f>
        <v>31675</v>
      </c>
      <c r="BE64" s="6">
        <f>$B64*Prices!BE64</f>
        <v>32111.25</v>
      </c>
      <c r="BF64" s="6">
        <f>$B64*Prices!BF64</f>
        <v>32487.499999999996</v>
      </c>
      <c r="BG64" s="6">
        <f>$B64*Prices!BG64</f>
        <v>32509.999999999996</v>
      </c>
      <c r="BH64" s="6">
        <f>$B64*Prices!BH64</f>
        <v>32965</v>
      </c>
      <c r="BI64" s="6">
        <f>$B64*Prices!BI64</f>
        <v>33342.5</v>
      </c>
      <c r="BJ64" s="6">
        <f>$B64*Prices!BJ64</f>
        <v>33226.25</v>
      </c>
      <c r="BK64" s="6">
        <f>$B64*Prices!BK64</f>
        <v>33220</v>
      </c>
      <c r="BL64" s="6">
        <f>$B64*Prices!BL64</f>
        <v>33741.25</v>
      </c>
      <c r="BM64" s="6">
        <f>$B64*Prices!BM64</f>
        <v>33525</v>
      </c>
      <c r="BN64" s="6">
        <f>$B64*Prices!BN64</f>
        <v>33351.25</v>
      </c>
      <c r="BO64" s="6">
        <f>$B64*Prices!BO64</f>
        <v>33067.5</v>
      </c>
      <c r="BP64" s="6">
        <f>$B64*Prices!BP64</f>
        <v>33338.75</v>
      </c>
      <c r="BQ64" s="6">
        <f>$B64*Prices!BQ64</f>
        <v>33541.25</v>
      </c>
      <c r="BR64" s="6">
        <f>$B64*Prices!BR64</f>
        <v>33692.5</v>
      </c>
      <c r="BS64" s="6">
        <f>$B64*Prices!BS64</f>
        <v>33967.5</v>
      </c>
      <c r="BT64" s="6">
        <f>$B64*Prices!BT64</f>
        <v>34018.75</v>
      </c>
      <c r="BU64" s="6">
        <f>$B64*Prices!BU64</f>
        <v>33782.5</v>
      </c>
      <c r="BV64" s="6">
        <f>$B64*Prices!BV64</f>
        <v>34433.75</v>
      </c>
      <c r="BW64" s="6">
        <f>$B64*Prices!BW64</f>
        <v>34815</v>
      </c>
      <c r="BX64" s="6">
        <f>$B64*Prices!BX64</f>
        <v>35255</v>
      </c>
      <c r="BY64" s="6">
        <f>$B64*Prices!BY64</f>
        <v>34333.75</v>
      </c>
      <c r="BZ64" s="6">
        <f>$B64*Prices!BZ64</f>
        <v>34628.75</v>
      </c>
      <c r="CA64" s="6">
        <f>$B64*Prices!CA64</f>
        <v>34518.474625000003</v>
      </c>
      <c r="CB64" s="6">
        <f>$B64*Prices!CB64</f>
        <v>34064.598125000004</v>
      </c>
      <c r="CC64" s="6">
        <f>$B64*Prices!CC64</f>
        <v>33615.688374999998</v>
      </c>
      <c r="CD64" s="6">
        <f>$B64*Prices!CD64</f>
        <v>33508.750874999998</v>
      </c>
      <c r="CE64" s="6">
        <f>$B64*Prices!CE64</f>
        <v>31981.250749999999</v>
      </c>
      <c r="CF64" s="6">
        <f>$B64*Prices!CF64</f>
        <v>31594.999374999999</v>
      </c>
      <c r="CG64" s="6">
        <f>$B64*Prices!CG64</f>
        <v>33543.750749999999</v>
      </c>
      <c r="CH64" s="6">
        <f>$B64*Prices!CH64</f>
        <v>33143.749250000001</v>
      </c>
      <c r="CI64" s="6">
        <f>$B64*Prices!CI64</f>
        <v>35277.500125000006</v>
      </c>
      <c r="CJ64" s="6">
        <f>$B64*Prices!CJ64</f>
        <v>34520.000500000002</v>
      </c>
      <c r="CK64" s="6">
        <f>$B64*Prices!CK64</f>
        <v>33977.500874999998</v>
      </c>
      <c r="CL64" s="6">
        <f>$B64*Prices!CL64</f>
        <v>32659.999874999998</v>
      </c>
      <c r="CM64" s="6">
        <f>$B64*Prices!CM64</f>
        <v>31966.249500000002</v>
      </c>
      <c r="CN64" s="6">
        <f>$B64*Prices!CN64</f>
        <v>30157.499374999999</v>
      </c>
      <c r="CO64" s="6">
        <f>$B64*Prices!CO64</f>
        <v>26111.249874999998</v>
      </c>
      <c r="CP64" s="6">
        <f>$B64*Prices!CP64</f>
        <v>27694.999750000003</v>
      </c>
      <c r="CQ64" s="6">
        <f>$B64*Prices!CQ64</f>
        <v>25171.249374999999</v>
      </c>
      <c r="CR64" s="6">
        <f>$B64*Prices!CR64</f>
        <v>27719.999374999999</v>
      </c>
      <c r="CS64" s="6">
        <f>$B64*Prices!CS64</f>
        <v>26329.999874999998</v>
      </c>
      <c r="CT64" s="6">
        <f>$B64*Prices!CT64</f>
        <v>25887.500749999999</v>
      </c>
      <c r="CU64" s="6">
        <f>$B64*Prices!CU64</f>
        <v>23968.75</v>
      </c>
      <c r="CV64" s="6">
        <f>$B64*Prices!CV64</f>
        <v>22707.500499999998</v>
      </c>
      <c r="CW64" s="6">
        <f>$B64*Prices!CW64</f>
        <v>25816.249875000001</v>
      </c>
      <c r="CX64" s="6">
        <f>$B64*Prices!CX64</f>
        <v>26283.750499999998</v>
      </c>
      <c r="CY64" s="6">
        <f>$B64*Prices!CY64</f>
        <v>28887.500749999999</v>
      </c>
      <c r="CZ64" s="6">
        <f>$B64*Prices!CZ64</f>
        <v>28993.749625</v>
      </c>
      <c r="DA64" s="6">
        <f>$B64*Prices!DA64</f>
        <v>30751.249374999999</v>
      </c>
      <c r="DB64" s="6">
        <f>$B64*Prices!DB64</f>
        <v>30077.499374999999</v>
      </c>
      <c r="DC64" s="6"/>
      <c r="DD64" s="6"/>
      <c r="DE64" s="6"/>
      <c r="DF64" s="6"/>
      <c r="DG64" s="6"/>
      <c r="DH64" s="6"/>
      <c r="DI64" s="6"/>
      <c r="DJ64" s="6"/>
    </row>
    <row r="65" spans="1:114">
      <c r="A65" s="3" t="s">
        <v>62</v>
      </c>
      <c r="B65">
        <v>513</v>
      </c>
      <c r="C65" s="6">
        <f>$B65*Prices!C65</f>
        <v>29943.809999999998</v>
      </c>
      <c r="D65" s="6">
        <f>$B65*Prices!D65</f>
        <v>29815.559999999998</v>
      </c>
      <c r="E65" s="6">
        <f>$B65*Prices!E65</f>
        <v>29538.54</v>
      </c>
      <c r="F65" s="6">
        <f>$B65*Prices!F65</f>
        <v>29379.510000000002</v>
      </c>
      <c r="G65" s="6">
        <f>$B65*Prices!G65</f>
        <v>29471.850000000002</v>
      </c>
      <c r="H65" s="6">
        <f>$B65*Prices!H65</f>
        <v>29184.57</v>
      </c>
      <c r="I65" s="6">
        <f>$B65*Prices!I65</f>
        <v>29220.48</v>
      </c>
      <c r="J65" s="6">
        <f>$B65*Prices!J65</f>
        <v>29123.010000000002</v>
      </c>
      <c r="K65" s="6">
        <f>$B65*Prices!K65</f>
        <v>29097.360000000001</v>
      </c>
      <c r="L65" s="6">
        <f>$B65*Prices!L65</f>
        <v>29235.870000000003</v>
      </c>
      <c r="M65" s="6">
        <f>$B65*Prices!M65</f>
        <v>29451.329999999998</v>
      </c>
      <c r="N65" s="6">
        <f>$B65*Prices!N65</f>
        <v>29620.620000000003</v>
      </c>
      <c r="O65" s="6">
        <f>$B65*Prices!O65</f>
        <v>29974.59</v>
      </c>
      <c r="P65" s="6">
        <f>$B65*Prices!P65</f>
        <v>29851.469999999998</v>
      </c>
      <c r="Q65" s="6">
        <f>$B65*Prices!Q65</f>
        <v>29497.5</v>
      </c>
      <c r="R65" s="6">
        <f>$B65*Prices!R65</f>
        <v>29456.46</v>
      </c>
      <c r="S65" s="6">
        <f>$B65*Prices!S65</f>
        <v>29651.399999999998</v>
      </c>
      <c r="T65" s="6">
        <f>$B65*Prices!T65</f>
        <v>30236.219999999998</v>
      </c>
      <c r="U65" s="6">
        <f>$B65*Prices!U65</f>
        <v>30077.190000000002</v>
      </c>
      <c r="V65" s="6">
        <f>$B65*Prices!V65</f>
        <v>29907.899999999998</v>
      </c>
      <c r="W65" s="6">
        <f>$B65*Prices!W65</f>
        <v>29476.98</v>
      </c>
      <c r="X65" s="6">
        <f>$B65*Prices!X65</f>
        <v>29174.309999999998</v>
      </c>
      <c r="Y65" s="6">
        <f>$B65*Prices!Y65</f>
        <v>29241</v>
      </c>
      <c r="Z65" s="6">
        <f>$B65*Prices!Z65</f>
        <v>29512.89</v>
      </c>
      <c r="AA65" s="6">
        <f>$B65*Prices!AA65</f>
        <v>29779.649999999998</v>
      </c>
      <c r="AB65" s="6">
        <f>$B65*Prices!AB65</f>
        <v>29954.07</v>
      </c>
      <c r="AC65" s="6">
        <f>$B65*Prices!AC65</f>
        <v>29995.11</v>
      </c>
      <c r="AD65" s="6">
        <f>$B65*Prices!AD65</f>
        <v>29974.59</v>
      </c>
      <c r="AE65" s="6">
        <f>$B65*Prices!AE65</f>
        <v>30364.469999999998</v>
      </c>
      <c r="AF65" s="6">
        <f>$B65*Prices!AF65</f>
        <v>29861.73</v>
      </c>
      <c r="AG65" s="6">
        <f>$B65*Prices!AG65</f>
        <v>31744.440000000002</v>
      </c>
      <c r="AH65" s="6">
        <f>$B65*Prices!AH65</f>
        <v>32072.760000000002</v>
      </c>
      <c r="AI65" s="6">
        <f>$B65*Prices!AI65</f>
        <v>32134.32</v>
      </c>
      <c r="AJ65" s="6">
        <f>$B65*Prices!AJ65</f>
        <v>32041.98</v>
      </c>
      <c r="AK65" s="6">
        <f>$B65*Prices!AK65</f>
        <v>31944.510000000002</v>
      </c>
      <c r="AL65" s="6">
        <f>$B65*Prices!AL65</f>
        <v>32139.45</v>
      </c>
      <c r="AM65" s="6">
        <f>$B65*Prices!AM65</f>
        <v>32041.98</v>
      </c>
      <c r="AN65" s="6">
        <f>$B65*Prices!AN65</f>
        <v>32026.59</v>
      </c>
      <c r="AO65" s="6">
        <f>$B65*Prices!AO65</f>
        <v>32134.32</v>
      </c>
      <c r="AP65" s="6">
        <f>$B65*Prices!AP65</f>
        <v>32277.96</v>
      </c>
      <c r="AQ65" s="6">
        <f>$B65*Prices!AQ65</f>
        <v>32139.45</v>
      </c>
      <c r="AR65" s="6">
        <f>$B65*Prices!AR65</f>
        <v>32149.71</v>
      </c>
      <c r="AS65" s="6">
        <f>$B65*Prices!AS65</f>
        <v>31980.420000000002</v>
      </c>
      <c r="AT65" s="6">
        <f>$B65*Prices!AT65</f>
        <v>31908.600000000002</v>
      </c>
      <c r="AU65" s="6">
        <f>$B65*Prices!AU65</f>
        <v>31893.21</v>
      </c>
      <c r="AV65" s="6">
        <f>$B65*Prices!AV65</f>
        <v>31754.7</v>
      </c>
      <c r="AW65" s="6">
        <f>$B65*Prices!AW65</f>
        <v>31611.059999999998</v>
      </c>
      <c r="AX65" s="6">
        <f>$B65*Prices!AX65</f>
        <v>31395.600000000002</v>
      </c>
      <c r="AY65" s="6">
        <f>$B65*Prices!AY65</f>
        <v>31318.649999999998</v>
      </c>
      <c r="AZ65" s="6">
        <f>$B65*Prices!AZ65</f>
        <v>31349.43</v>
      </c>
      <c r="BA65" s="6">
        <f>$B65*Prices!BA65</f>
        <v>31395.600000000002</v>
      </c>
      <c r="BB65" s="6">
        <f>$B65*Prices!BB65</f>
        <v>31970.16</v>
      </c>
      <c r="BC65" s="6">
        <f>$B65*Prices!BC65</f>
        <v>32113.8</v>
      </c>
      <c r="BD65" s="6">
        <f>$B65*Prices!BD65</f>
        <v>32596.02</v>
      </c>
      <c r="BE65" s="6">
        <f>$B65*Prices!BE65</f>
        <v>32980.770000000004</v>
      </c>
      <c r="BF65" s="6">
        <f>$B65*Prices!BF65</f>
        <v>33334.740000000005</v>
      </c>
      <c r="BG65" s="6">
        <f>$B65*Prices!BG65</f>
        <v>33514.29</v>
      </c>
      <c r="BH65" s="6">
        <f>$B65*Prices!BH65</f>
        <v>34006.770000000004</v>
      </c>
      <c r="BI65" s="6">
        <f>$B65*Prices!BI65</f>
        <v>33580.979999999996</v>
      </c>
      <c r="BJ65" s="6">
        <f>$B65*Prices!BJ65</f>
        <v>33888.78</v>
      </c>
      <c r="BK65" s="6">
        <f>$B65*Prices!BK65</f>
        <v>34011.9</v>
      </c>
      <c r="BL65" s="6">
        <f>$B65*Prices!BL65</f>
        <v>34217.1</v>
      </c>
      <c r="BM65" s="6">
        <f>$B65*Prices!BM65</f>
        <v>34001.64</v>
      </c>
      <c r="BN65" s="6">
        <f>$B65*Prices!BN65</f>
        <v>33709.229999999996</v>
      </c>
      <c r="BO65" s="6">
        <f>$B65*Prices!BO65</f>
        <v>33627.15</v>
      </c>
      <c r="BP65" s="6">
        <f>$B65*Prices!BP65</f>
        <v>33888.78</v>
      </c>
      <c r="BQ65" s="6">
        <f>$B65*Prices!BQ65</f>
        <v>34011.9</v>
      </c>
      <c r="BR65" s="6">
        <f>$B65*Prices!BR65</f>
        <v>33837.479999999996</v>
      </c>
      <c r="BS65" s="6">
        <f>$B65*Prices!BS65</f>
        <v>34011.9</v>
      </c>
      <c r="BT65" s="6">
        <f>$B65*Prices!BT65</f>
        <v>34104.240000000005</v>
      </c>
      <c r="BU65" s="6">
        <f>$B65*Prices!BU65</f>
        <v>34165.799999999996</v>
      </c>
      <c r="BV65" s="6">
        <f>$B65*Prices!BV65</f>
        <v>34145.279999999999</v>
      </c>
      <c r="BW65" s="6">
        <f>$B65*Prices!BW65</f>
        <v>34565.939999999995</v>
      </c>
      <c r="BX65" s="6">
        <f>$B65*Prices!BX65</f>
        <v>35053.29</v>
      </c>
      <c r="BY65" s="6">
        <f>$B65*Prices!BY65</f>
        <v>35078.939999999995</v>
      </c>
      <c r="BZ65" s="6">
        <f>$B65*Prices!BZ65</f>
        <v>35053.29</v>
      </c>
      <c r="CA65" s="6">
        <f>$B65*Prices!CA65</f>
        <v>35268.75</v>
      </c>
      <c r="CB65" s="6">
        <f>$B65*Prices!CB65</f>
        <v>34422.298973999998</v>
      </c>
      <c r="CC65" s="6">
        <f>$B65*Prices!CC65</f>
        <v>33991.381026000003</v>
      </c>
      <c r="CD65" s="6">
        <f>$B65*Prices!CD65</f>
        <v>34242.75</v>
      </c>
      <c r="CE65" s="6">
        <f>$B65*Prices!CE65</f>
        <v>33586.110513</v>
      </c>
      <c r="CF65" s="6">
        <f>$B65*Prices!CF65</f>
        <v>32452.378974000003</v>
      </c>
      <c r="CG65" s="6">
        <f>$B65*Prices!CG65</f>
        <v>33206.491538999995</v>
      </c>
      <c r="CH65" s="6">
        <f>$B65*Prices!CH65</f>
        <v>32867.909999999996</v>
      </c>
      <c r="CI65" s="6">
        <f>$B65*Prices!CI65</f>
        <v>34837.832051999998</v>
      </c>
      <c r="CJ65" s="6">
        <f>$B65*Prices!CJ65</f>
        <v>34673.667948000002</v>
      </c>
      <c r="CK65" s="6">
        <f>$B65*Prices!CK65</f>
        <v>34140.151538999999</v>
      </c>
      <c r="CL65" s="6">
        <f>$B65*Prices!CL65</f>
        <v>32313.871025999997</v>
      </c>
      <c r="CM65" s="6">
        <f>$B65*Prices!CM65</f>
        <v>31847.041025999999</v>
      </c>
      <c r="CN65" s="6">
        <f>$B65*Prices!CN65</f>
        <v>30487.59</v>
      </c>
      <c r="CO65" s="6">
        <f>$B65*Prices!CO65</f>
        <v>27625.048974000001</v>
      </c>
      <c r="CP65" s="6">
        <f>$B65*Prices!CP65</f>
        <v>28568.969486999998</v>
      </c>
      <c r="CQ65" s="6">
        <f>$B65*Prices!CQ65</f>
        <v>26383.59</v>
      </c>
      <c r="CR65" s="6">
        <f>$B65*Prices!CR65</f>
        <v>30231.09</v>
      </c>
      <c r="CS65" s="6">
        <f>$B65*Prices!CS65</f>
        <v>27968.760000000002</v>
      </c>
      <c r="CT65" s="6">
        <f>$B65*Prices!CT65</f>
        <v>27224.91</v>
      </c>
      <c r="CU65" s="6">
        <f>$B65*Prices!CU65</f>
        <v>25470.451025999999</v>
      </c>
      <c r="CV65" s="6">
        <f>$B65*Prices!CV65</f>
        <v>23264.548974000001</v>
      </c>
      <c r="CW65" s="6">
        <f>$B65*Prices!CW65</f>
        <v>25419.149486999999</v>
      </c>
      <c r="CX65" s="6">
        <f>$B65*Prices!CX65</f>
        <v>27291.600513000001</v>
      </c>
      <c r="CY65" s="6">
        <f>$B65*Prices!CY65</f>
        <v>29312.819487000001</v>
      </c>
      <c r="CZ65" s="6">
        <f>$B65*Prices!CZ65</f>
        <v>29482.110513000003</v>
      </c>
      <c r="DA65" s="6">
        <f>$B65*Prices!DA65</f>
        <v>30431.16</v>
      </c>
      <c r="DB65" s="6">
        <f>$B65*Prices!DB65</f>
        <v>29892.510000000002</v>
      </c>
      <c r="DC65" s="6"/>
      <c r="DD65" s="6"/>
      <c r="DE65" s="6"/>
      <c r="DF65" s="6"/>
      <c r="DG65" s="6"/>
      <c r="DH65" s="6"/>
      <c r="DI65" s="6"/>
      <c r="DJ65" s="6"/>
    </row>
    <row r="66" spans="1:114">
      <c r="A66" s="3" t="s">
        <v>63</v>
      </c>
      <c r="B66">
        <v>321</v>
      </c>
      <c r="C66" s="6">
        <f>$B66*Prices!C66</f>
        <v>30257.460000000003</v>
      </c>
      <c r="D66" s="6">
        <f>$B66*Prices!D66</f>
        <v>30295.98</v>
      </c>
      <c r="E66" s="6">
        <f>$B66*Prices!E66</f>
        <v>30058.44</v>
      </c>
      <c r="F66" s="6">
        <f>$B66*Prices!F66</f>
        <v>29901.15</v>
      </c>
      <c r="G66" s="6">
        <f>$B66*Prices!G66</f>
        <v>29968.560000000001</v>
      </c>
      <c r="H66" s="6">
        <f>$B66*Prices!H66</f>
        <v>29718.18</v>
      </c>
      <c r="I66" s="6">
        <f>$B66*Prices!I66</f>
        <v>28873.95</v>
      </c>
      <c r="J66" s="6">
        <f>$B66*Prices!J66</f>
        <v>28119.599999999999</v>
      </c>
      <c r="K66" s="6">
        <f>$B66*Prices!K66</f>
        <v>28116.39</v>
      </c>
      <c r="L66" s="6">
        <f>$B66*Prices!L66</f>
        <v>28418.13</v>
      </c>
      <c r="M66" s="6">
        <f>$B66*Prices!M66</f>
        <v>28328.25</v>
      </c>
      <c r="N66" s="6">
        <f>$B66*Prices!N66</f>
        <v>28434.18</v>
      </c>
      <c r="O66" s="6">
        <f>$B66*Prices!O66</f>
        <v>28456.65</v>
      </c>
      <c r="P66" s="6">
        <f>$B66*Prices!P66</f>
        <v>27936.63</v>
      </c>
      <c r="Q66" s="6">
        <f>$B66*Prices!Q66</f>
        <v>27968.73</v>
      </c>
      <c r="R66" s="6">
        <f>$B66*Prices!R66</f>
        <v>27817.86</v>
      </c>
      <c r="S66" s="6">
        <f>$B66*Prices!S66</f>
        <v>27971.94</v>
      </c>
      <c r="T66" s="6">
        <f>$B66*Prices!T66</f>
        <v>28119.599999999999</v>
      </c>
      <c r="U66" s="6">
        <f>$B66*Prices!U66</f>
        <v>28312.2</v>
      </c>
      <c r="V66" s="6">
        <f>$B66*Prices!V66</f>
        <v>28427.760000000002</v>
      </c>
      <c r="W66" s="6">
        <f>$B66*Prices!W66</f>
        <v>28302.57</v>
      </c>
      <c r="X66" s="6">
        <f>$B66*Prices!X66</f>
        <v>28020.090000000004</v>
      </c>
      <c r="Y66" s="6">
        <f>$B66*Prices!Y66</f>
        <v>28203.06</v>
      </c>
      <c r="Z66" s="6">
        <f>$B66*Prices!Z66</f>
        <v>28552.95</v>
      </c>
      <c r="AA66" s="6">
        <f>$B66*Prices!AA66</f>
        <v>28662.090000000004</v>
      </c>
      <c r="AB66" s="6">
        <f>$B66*Prices!AB66</f>
        <v>28812.960000000003</v>
      </c>
      <c r="AC66" s="6">
        <f>$B66*Prices!AC66</f>
        <v>28658.880000000001</v>
      </c>
      <c r="AD66" s="6">
        <f>$B66*Prices!AD66</f>
        <v>28585.05</v>
      </c>
      <c r="AE66" s="6">
        <f>$B66*Prices!AE66</f>
        <v>28569</v>
      </c>
      <c r="AF66" s="6">
        <f>$B66*Prices!AF66</f>
        <v>28748.760000000002</v>
      </c>
      <c r="AG66" s="6">
        <f>$B66*Prices!AG66</f>
        <v>28922.1</v>
      </c>
      <c r="AH66" s="6">
        <f>$B66*Prices!AH66</f>
        <v>29047.289999999997</v>
      </c>
      <c r="AI66" s="6">
        <f>$B66*Prices!AI66</f>
        <v>29066.55</v>
      </c>
      <c r="AJ66" s="6">
        <f>$B66*Prices!AJ66</f>
        <v>29085.81</v>
      </c>
      <c r="AK66" s="6">
        <f>$B66*Prices!AK66</f>
        <v>28873.95</v>
      </c>
      <c r="AL66" s="6">
        <f>$B66*Prices!AL66</f>
        <v>29089.02</v>
      </c>
      <c r="AM66" s="6">
        <f>$B66*Prices!AM66</f>
        <v>28938.15</v>
      </c>
      <c r="AN66" s="6">
        <f>$B66*Prices!AN66</f>
        <v>28963.83</v>
      </c>
      <c r="AO66" s="6">
        <f>$B66*Prices!AO66</f>
        <v>29015.19</v>
      </c>
      <c r="AP66" s="6">
        <f>$B66*Prices!AP66</f>
        <v>29201.37</v>
      </c>
      <c r="AQ66" s="6">
        <f>$B66*Prices!AQ66</f>
        <v>29143.590000000004</v>
      </c>
      <c r="AR66" s="6">
        <f>$B66*Prices!AR66</f>
        <v>29278.409999999996</v>
      </c>
      <c r="AS66" s="6">
        <f>$B66*Prices!AS66</f>
        <v>28999.14</v>
      </c>
      <c r="AT66" s="6">
        <f>$B66*Prices!AT66</f>
        <v>29018.400000000001</v>
      </c>
      <c r="AU66" s="6">
        <f>$B66*Prices!AU66</f>
        <v>29159.64</v>
      </c>
      <c r="AV66" s="6">
        <f>$B66*Prices!AV66</f>
        <v>28976.67</v>
      </c>
      <c r="AW66" s="6">
        <f>$B66*Prices!AW66</f>
        <v>29018.400000000001</v>
      </c>
      <c r="AX66" s="6">
        <f>$B66*Prices!AX66</f>
        <v>29089.02</v>
      </c>
      <c r="AY66" s="6">
        <f>$B66*Prices!AY66</f>
        <v>29031.239999999998</v>
      </c>
      <c r="AZ66" s="6">
        <f>$B66*Prices!AZ66</f>
        <v>29288.039999999997</v>
      </c>
      <c r="BA66" s="6">
        <f>$B66*Prices!BA66</f>
        <v>29307.3</v>
      </c>
      <c r="BB66" s="6">
        <f>$B66*Prices!BB66</f>
        <v>29689.289999999997</v>
      </c>
      <c r="BC66" s="6">
        <f>$B66*Prices!BC66</f>
        <v>29910.780000000002</v>
      </c>
      <c r="BD66" s="6">
        <f>$B66*Prices!BD66</f>
        <v>30084.12</v>
      </c>
      <c r="BE66" s="6">
        <f>$B66*Prices!BE66</f>
        <v>30427.590000000004</v>
      </c>
      <c r="BF66" s="6">
        <f>$B66*Prices!BF66</f>
        <v>30594.510000000002</v>
      </c>
      <c r="BG66" s="6">
        <f>$B66*Prices!BG66</f>
        <v>30841.68</v>
      </c>
      <c r="BH66" s="6">
        <f>$B66*Prices!BH66</f>
        <v>30905.88</v>
      </c>
      <c r="BI66" s="6">
        <f>$B66*Prices!BI66</f>
        <v>30848.1</v>
      </c>
      <c r="BJ66" s="6">
        <f>$B66*Prices!BJ66</f>
        <v>30883.409999999996</v>
      </c>
      <c r="BK66" s="6">
        <f>$B66*Prices!BK66</f>
        <v>31056.75</v>
      </c>
      <c r="BL66" s="6">
        <f>$B66*Prices!BL66</f>
        <v>31287.87</v>
      </c>
      <c r="BM66" s="6">
        <f>$B66*Prices!BM66</f>
        <v>31339.23</v>
      </c>
      <c r="BN66" s="6">
        <f>$B66*Prices!BN66</f>
        <v>31352.07</v>
      </c>
      <c r="BO66" s="6">
        <f>$B66*Prices!BO66</f>
        <v>31008.6</v>
      </c>
      <c r="BP66" s="6">
        <f>$B66*Prices!BP66</f>
        <v>31181.94</v>
      </c>
      <c r="BQ66" s="6">
        <f>$B66*Prices!BQ66</f>
        <v>31114.530000000002</v>
      </c>
      <c r="BR66" s="6">
        <f>$B66*Prices!BR66</f>
        <v>30902.67</v>
      </c>
      <c r="BS66" s="6">
        <f>$B66*Prices!BS66</f>
        <v>30889.83</v>
      </c>
      <c r="BT66" s="6">
        <f>$B66*Prices!BT66</f>
        <v>31133.789999999997</v>
      </c>
      <c r="BU66" s="6">
        <f>$B66*Prices!BU66</f>
        <v>31432.32</v>
      </c>
      <c r="BV66" s="6">
        <f>$B66*Prices!BV66</f>
        <v>32135.31</v>
      </c>
      <c r="BW66" s="6">
        <f>$B66*Prices!BW66</f>
        <v>32510.880000000001</v>
      </c>
      <c r="BX66" s="6">
        <f>$B66*Prices!BX66</f>
        <v>32748.42</v>
      </c>
      <c r="BY66" s="6">
        <f>$B66*Prices!BY66</f>
        <v>32555.82</v>
      </c>
      <c r="BZ66" s="6">
        <f>$B66*Prices!BZ66</f>
        <v>32559.030000000002</v>
      </c>
      <c r="CA66" s="6">
        <f>$B66*Prices!CA66</f>
        <v>32880.03</v>
      </c>
      <c r="CB66" s="6">
        <f>$B66*Prices!CB66</f>
        <v>32838.300963000002</v>
      </c>
      <c r="CC66" s="6">
        <f>$B66*Prices!CC66</f>
        <v>31865.669037</v>
      </c>
      <c r="CD66" s="6">
        <f>$B66*Prices!CD66</f>
        <v>31759.740642000001</v>
      </c>
      <c r="CE66" s="6">
        <f>$B66*Prices!CE66</f>
        <v>30491.789357999998</v>
      </c>
      <c r="CF66" s="6">
        <f>$B66*Prices!CF66</f>
        <v>29435.699036999998</v>
      </c>
      <c r="CG66" s="6">
        <f>$B66*Prices!CG66</f>
        <v>31031.069358000001</v>
      </c>
      <c r="CH66" s="6">
        <f>$B66*Prices!CH66</f>
        <v>30690.810320999997</v>
      </c>
      <c r="CI66" s="6">
        <f>$B66*Prices!CI66</f>
        <v>32629.650642000001</v>
      </c>
      <c r="CJ66" s="6">
        <f>$B66*Prices!CJ66</f>
        <v>32141.729037000001</v>
      </c>
      <c r="CK66" s="6">
        <f>$B66*Prices!CK66</f>
        <v>31795.050963000002</v>
      </c>
      <c r="CL66" s="6">
        <f>$B66*Prices!CL66</f>
        <v>30360.180641999999</v>
      </c>
      <c r="CM66" s="6">
        <f>$B66*Prices!CM66</f>
        <v>30511.050963000002</v>
      </c>
      <c r="CN66" s="6">
        <f>$B66*Prices!CN66</f>
        <v>29191.740642000001</v>
      </c>
      <c r="CO66" s="6">
        <f>$B66*Prices!CO66</f>
        <v>25834.080963</v>
      </c>
      <c r="CP66" s="6">
        <f>$B66*Prices!CP66</f>
        <v>27532.169037</v>
      </c>
      <c r="CQ66" s="6">
        <f>$B66*Prices!CQ66</f>
        <v>24582.180641999999</v>
      </c>
      <c r="CR66" s="6">
        <f>$B66*Prices!CR66</f>
        <v>27606</v>
      </c>
      <c r="CS66" s="6">
        <f>$B66*Prices!CS66</f>
        <v>25448.879679000001</v>
      </c>
      <c r="CT66" s="6">
        <f>$B66*Prices!CT66</f>
        <v>24091.050963000002</v>
      </c>
      <c r="CU66" s="6">
        <f>$B66*Prices!CU66</f>
        <v>21956.400642000001</v>
      </c>
      <c r="CV66" s="6">
        <f>$B66*Prices!CV66</f>
        <v>20592.150642000001</v>
      </c>
      <c r="CW66" s="6">
        <f>$B66*Prices!CW66</f>
        <v>22951.5</v>
      </c>
      <c r="CX66" s="6">
        <f>$B66*Prices!CX66</f>
        <v>23981.909679</v>
      </c>
      <c r="CY66" s="6">
        <f>$B66*Prices!CY66</f>
        <v>26061.990642000001</v>
      </c>
      <c r="CZ66" s="6">
        <f>$B66*Prices!CZ66</f>
        <v>25740.990642000001</v>
      </c>
      <c r="DA66" s="6">
        <f>$B66*Prices!DA66</f>
        <v>26790.659679</v>
      </c>
      <c r="DB66" s="6">
        <f>$B66*Prices!DB66</f>
        <v>25962.479037000001</v>
      </c>
      <c r="DC66" s="6"/>
      <c r="DD66" s="6"/>
      <c r="DE66" s="6"/>
      <c r="DF66" s="6"/>
      <c r="DG66" s="6"/>
      <c r="DH66" s="6"/>
      <c r="DI66" s="6"/>
      <c r="DJ66" s="6"/>
    </row>
    <row r="68" spans="1:114">
      <c r="A68" s="4" t="s">
        <v>64</v>
      </c>
      <c r="C68" s="5">
        <v>3.72</v>
      </c>
      <c r="D68" s="5">
        <v>3.72</v>
      </c>
      <c r="E68" s="5">
        <v>3.72</v>
      </c>
      <c r="F68" s="5">
        <v>3.72</v>
      </c>
      <c r="G68" s="5">
        <v>3.72</v>
      </c>
      <c r="H68" s="5">
        <v>3.72</v>
      </c>
      <c r="I68" s="5">
        <v>3.72</v>
      </c>
      <c r="J68" s="5">
        <v>3.72</v>
      </c>
      <c r="K68" s="5">
        <v>3.72</v>
      </c>
      <c r="L68" s="5">
        <v>3.72</v>
      </c>
      <c r="M68" s="5">
        <v>3.72</v>
      </c>
      <c r="N68" s="5">
        <v>3.72</v>
      </c>
      <c r="O68" s="5">
        <v>3.72</v>
      </c>
      <c r="P68" s="5">
        <v>3.72</v>
      </c>
      <c r="Q68" s="5">
        <v>3.72</v>
      </c>
      <c r="R68" s="5">
        <v>3.72</v>
      </c>
      <c r="S68" s="5">
        <v>3.72</v>
      </c>
      <c r="T68" s="5">
        <v>3.72</v>
      </c>
      <c r="U68" s="5">
        <v>3.72</v>
      </c>
      <c r="V68" s="5">
        <v>3.72</v>
      </c>
      <c r="W68" s="5">
        <v>3.72</v>
      </c>
      <c r="X68" s="5">
        <v>3.72</v>
      </c>
      <c r="Y68" s="5">
        <v>3.72</v>
      </c>
      <c r="Z68" s="5">
        <v>3.72</v>
      </c>
      <c r="AA68" s="5">
        <v>3.72</v>
      </c>
      <c r="AB68" s="5">
        <v>3.72</v>
      </c>
      <c r="AC68" s="5">
        <v>3.72</v>
      </c>
      <c r="AD68" s="5">
        <v>3.72</v>
      </c>
      <c r="AE68" s="5">
        <v>3.72</v>
      </c>
      <c r="AF68" s="5">
        <v>3.72</v>
      </c>
      <c r="AG68" s="5">
        <v>3.72</v>
      </c>
      <c r="AH68" s="5">
        <v>3.72</v>
      </c>
      <c r="AI68" s="5">
        <v>3.72</v>
      </c>
      <c r="AJ68" s="5">
        <v>3.72</v>
      </c>
      <c r="AK68" s="5">
        <v>3.72</v>
      </c>
      <c r="AL68" s="5">
        <v>3.72</v>
      </c>
      <c r="AM68" s="5">
        <v>3.72</v>
      </c>
      <c r="AN68" s="5">
        <v>3.72</v>
      </c>
      <c r="AO68" s="5">
        <v>3.72</v>
      </c>
      <c r="AP68" s="5">
        <v>3.72</v>
      </c>
      <c r="AQ68" s="5">
        <v>3.72</v>
      </c>
      <c r="AR68" s="5">
        <v>3.72</v>
      </c>
      <c r="AS68" s="5">
        <v>3.72</v>
      </c>
      <c r="AT68" s="5">
        <v>3.72</v>
      </c>
      <c r="AU68" s="5">
        <v>3.72</v>
      </c>
      <c r="AV68" s="5">
        <v>3.72</v>
      </c>
      <c r="AW68" s="5">
        <v>3.72</v>
      </c>
      <c r="AX68" s="5">
        <v>3.72</v>
      </c>
      <c r="AY68" s="5">
        <v>3.72</v>
      </c>
      <c r="AZ68" s="5">
        <v>3.72</v>
      </c>
      <c r="BA68" s="5">
        <v>3.72</v>
      </c>
      <c r="BB68" s="5">
        <v>3.72</v>
      </c>
      <c r="BC68" s="5">
        <v>3.72</v>
      </c>
      <c r="BD68" s="5">
        <v>3.72</v>
      </c>
      <c r="BE68" s="5">
        <v>3.72</v>
      </c>
      <c r="BF68" s="5">
        <v>3.72</v>
      </c>
      <c r="BG68" s="5">
        <v>3.72</v>
      </c>
      <c r="BH68" s="5">
        <v>3.72</v>
      </c>
      <c r="BI68" s="5">
        <v>3.72</v>
      </c>
      <c r="BJ68" s="5">
        <v>3.72</v>
      </c>
      <c r="BK68" s="5">
        <v>3.72</v>
      </c>
      <c r="BL68" s="5">
        <v>3.72</v>
      </c>
      <c r="BM68" s="5">
        <v>3.72</v>
      </c>
      <c r="BN68" s="5">
        <v>3.72</v>
      </c>
      <c r="BO68" s="5">
        <v>3.72</v>
      </c>
      <c r="BP68" s="5">
        <v>3.72</v>
      </c>
      <c r="BQ68" s="5">
        <v>3.72</v>
      </c>
      <c r="BR68" s="5">
        <v>3.72</v>
      </c>
      <c r="BS68" s="5">
        <v>3.72</v>
      </c>
      <c r="BT68" s="5">
        <v>3.72</v>
      </c>
      <c r="BU68" s="5">
        <v>3.72</v>
      </c>
      <c r="BV68" s="5">
        <v>3.72</v>
      </c>
      <c r="BW68" s="5">
        <v>3.72</v>
      </c>
      <c r="BX68" s="5">
        <v>3.72</v>
      </c>
      <c r="BY68" s="5">
        <v>3.72</v>
      </c>
      <c r="BZ68" s="5">
        <v>3.72</v>
      </c>
      <c r="CA68" s="5">
        <v>3.72</v>
      </c>
      <c r="CB68" s="5">
        <v>3.72</v>
      </c>
      <c r="CC68" s="5">
        <v>3.72</v>
      </c>
      <c r="CD68" s="5">
        <v>3.72</v>
      </c>
      <c r="CE68" s="5">
        <v>3.72</v>
      </c>
      <c r="CF68" s="5">
        <v>3.72</v>
      </c>
      <c r="CG68" s="5">
        <v>3.72</v>
      </c>
      <c r="CH68" s="5">
        <v>3.72</v>
      </c>
      <c r="CI68" s="5">
        <v>3.72</v>
      </c>
      <c r="CJ68" s="5">
        <v>3.72</v>
      </c>
      <c r="CK68" s="5">
        <v>3.72</v>
      </c>
      <c r="CL68" s="5">
        <v>3.72</v>
      </c>
      <c r="CM68" s="5">
        <v>3.72</v>
      </c>
      <c r="CN68" s="5">
        <v>3.72</v>
      </c>
      <c r="CO68" s="5">
        <v>3.72</v>
      </c>
      <c r="CP68" s="5">
        <v>3.72</v>
      </c>
      <c r="CQ68" s="5">
        <v>3.72</v>
      </c>
      <c r="CR68" s="5">
        <v>3.72</v>
      </c>
      <c r="CS68" s="5">
        <v>3.72</v>
      </c>
      <c r="CT68" s="5">
        <v>3.72</v>
      </c>
      <c r="CU68" s="5">
        <v>3.72</v>
      </c>
      <c r="CV68" s="5">
        <v>3.72</v>
      </c>
      <c r="CW68" s="5">
        <v>3.72</v>
      </c>
      <c r="CX68" s="5">
        <v>3.72</v>
      </c>
      <c r="CY68" s="5">
        <v>3.72</v>
      </c>
      <c r="CZ68" s="5">
        <v>3.72</v>
      </c>
      <c r="DA68" s="5">
        <v>3.72</v>
      </c>
      <c r="DB68" s="5">
        <v>3.72</v>
      </c>
      <c r="DC68" s="5"/>
      <c r="DD68" s="5"/>
      <c r="DE68" s="5"/>
      <c r="DF68" s="5"/>
      <c r="DG68" s="5"/>
      <c r="DH68" s="5"/>
      <c r="DI68" s="5"/>
      <c r="DJ68" s="5"/>
    </row>
    <row r="70" spans="1:114" s="2" customFormat="1">
      <c r="A70" s="2" t="s">
        <v>65</v>
      </c>
      <c r="C70" s="5">
        <f>IFERROR(SUM(C68,C64:C66,C57:C62,C53:C55,C48:C51,C42:C46,C34:C40,C28:C32,C24:C26,C18:C22,C11:C16,C4:C9),"NA")</f>
        <v>1000000.0000000001</v>
      </c>
      <c r="D70" s="5">
        <f t="shared" ref="D70:BJ70" si="5">IFERROR(SUM(D68,D64:D66,D57:D62,D53:D55,D48:D51,D42:D46,D34:D40,D28:D32,D24:D26,D18:D22,D11:D16,D4:D9),"NA")</f>
        <v>1004679.08</v>
      </c>
      <c r="E70" s="5">
        <f t="shared" si="5"/>
        <v>1003258.1699999999</v>
      </c>
      <c r="F70" s="5">
        <f t="shared" si="5"/>
        <v>999657.00000000012</v>
      </c>
      <c r="G70" s="5">
        <f t="shared" si="5"/>
        <v>1002979.2999999999</v>
      </c>
      <c r="H70" s="5">
        <f t="shared" si="5"/>
        <v>1004049.46</v>
      </c>
      <c r="I70" s="5">
        <f t="shared" si="5"/>
        <v>1004449.74</v>
      </c>
      <c r="J70" s="5">
        <f t="shared" si="5"/>
        <v>999941.18500000017</v>
      </c>
      <c r="K70" s="5">
        <f t="shared" si="5"/>
        <v>1001480.8699999998</v>
      </c>
      <c r="L70" s="5">
        <f t="shared" si="5"/>
        <v>1004795.37</v>
      </c>
      <c r="M70" s="5">
        <f t="shared" si="5"/>
        <v>1006428.6599999998</v>
      </c>
      <c r="N70" s="5">
        <f t="shared" si="5"/>
        <v>1012562.3700000002</v>
      </c>
      <c r="O70" s="5">
        <f t="shared" si="5"/>
        <v>1013401.8700000002</v>
      </c>
      <c r="P70" s="5">
        <f t="shared" si="5"/>
        <v>1013462.4399999996</v>
      </c>
      <c r="Q70" s="5">
        <f t="shared" si="5"/>
        <v>1012827.5950000001</v>
      </c>
      <c r="R70" s="5">
        <f t="shared" si="5"/>
        <v>1011012.7199999999</v>
      </c>
      <c r="S70" s="5">
        <f t="shared" si="5"/>
        <v>1009506.1100000003</v>
      </c>
      <c r="T70" s="5">
        <f t="shared" si="5"/>
        <v>1017189.3049999998</v>
      </c>
      <c r="U70" s="5">
        <f t="shared" si="5"/>
        <v>1023119.5000000001</v>
      </c>
      <c r="V70" s="5">
        <f t="shared" si="5"/>
        <v>1026740.1299999997</v>
      </c>
      <c r="W70" s="5">
        <f t="shared" si="5"/>
        <v>1022871.3599999999</v>
      </c>
      <c r="X70" s="5">
        <f t="shared" si="5"/>
        <v>1015222.1700000002</v>
      </c>
      <c r="Y70" s="5">
        <f t="shared" si="5"/>
        <v>1011956.8299999997</v>
      </c>
      <c r="Z70" s="5">
        <f t="shared" si="5"/>
        <v>1017961.1200000002</v>
      </c>
      <c r="AA70" s="5">
        <f t="shared" si="5"/>
        <v>1020125.18</v>
      </c>
      <c r="AB70" s="5">
        <f t="shared" si="5"/>
        <v>1027320.605</v>
      </c>
      <c r="AC70" s="5">
        <f t="shared" si="5"/>
        <v>1024124.0600000002</v>
      </c>
      <c r="AD70" s="5">
        <f t="shared" si="5"/>
        <v>1024075.0999999999</v>
      </c>
      <c r="AE70" s="5">
        <f t="shared" si="5"/>
        <v>1025503.89</v>
      </c>
      <c r="AF70" s="5">
        <f t="shared" si="5"/>
        <v>1030155.7000000003</v>
      </c>
      <c r="AG70" s="5">
        <f t="shared" si="5"/>
        <v>1033888.8799999999</v>
      </c>
      <c r="AH70" s="5">
        <f t="shared" si="5"/>
        <v>1041644.0599999999</v>
      </c>
      <c r="AI70" s="5">
        <f t="shared" si="5"/>
        <v>1042102.6800000002</v>
      </c>
      <c r="AJ70" s="5">
        <f t="shared" si="5"/>
        <v>1043346.6499999999</v>
      </c>
      <c r="AK70" s="5">
        <f t="shared" si="5"/>
        <v>1048172.7999999999</v>
      </c>
      <c r="AL70" s="5">
        <f t="shared" si="5"/>
        <v>1052609.9900000002</v>
      </c>
      <c r="AM70" s="5">
        <f t="shared" si="5"/>
        <v>1051918.1749999998</v>
      </c>
      <c r="AN70" s="5">
        <f t="shared" si="5"/>
        <v>1052981.2299999997</v>
      </c>
      <c r="AO70" s="5">
        <f t="shared" si="5"/>
        <v>1059098.7750000001</v>
      </c>
      <c r="AP70" s="5">
        <f t="shared" si="5"/>
        <v>1060800.615</v>
      </c>
      <c r="AQ70" s="5">
        <f t="shared" si="5"/>
        <v>1054995.0000000002</v>
      </c>
      <c r="AR70" s="5">
        <f t="shared" si="5"/>
        <v>1058042.2899999996</v>
      </c>
      <c r="AS70" s="5">
        <f t="shared" si="5"/>
        <v>1064280.1600000001</v>
      </c>
      <c r="AT70" s="5">
        <f t="shared" si="5"/>
        <v>1059948.6400000001</v>
      </c>
      <c r="AU70" s="5">
        <f t="shared" si="5"/>
        <v>1065094.3</v>
      </c>
      <c r="AV70" s="5">
        <f t="shared" si="5"/>
        <v>1061239.6549999998</v>
      </c>
      <c r="AW70" s="5">
        <f t="shared" si="5"/>
        <v>1065160.2200000002</v>
      </c>
      <c r="AX70" s="5">
        <f t="shared" si="5"/>
        <v>1072497.3099999998</v>
      </c>
      <c r="AY70" s="5">
        <f t="shared" si="5"/>
        <v>1070502.1499999997</v>
      </c>
      <c r="AZ70" s="5">
        <f t="shared" si="5"/>
        <v>1078256.4000000001</v>
      </c>
      <c r="BA70" s="5">
        <f t="shared" si="5"/>
        <v>1078329.8199999998</v>
      </c>
      <c r="BB70" s="5">
        <f t="shared" si="5"/>
        <v>1085347.44</v>
      </c>
      <c r="BC70" s="5">
        <f t="shared" si="5"/>
        <v>1094686.4000000001</v>
      </c>
      <c r="BD70" s="5">
        <f t="shared" si="5"/>
        <v>1097812.04</v>
      </c>
      <c r="BE70" s="5">
        <f t="shared" si="5"/>
        <v>1101513.9299999997</v>
      </c>
      <c r="BF70" s="5">
        <f t="shared" si="5"/>
        <v>1102113.5599999996</v>
      </c>
      <c r="BG70" s="5">
        <f t="shared" si="5"/>
        <v>1101878.6599999999</v>
      </c>
      <c r="BH70" s="5">
        <f t="shared" si="5"/>
        <v>1093386.2700000003</v>
      </c>
      <c r="BI70" s="5">
        <f t="shared" si="5"/>
        <v>1081578.3699999999</v>
      </c>
      <c r="BJ70" s="5">
        <f t="shared" si="5"/>
        <v>1088876.2200000002</v>
      </c>
      <c r="BK70" s="5">
        <f>IFERROR(SUM(BK68,BK64:BK66,BK57:BK62,BK53:BK55,BK48:BK51,BK42:BK46,BK34:BK40,BK28:BK32,BK24:BK26,BK18:BK22,BK11:BK16,BK4:BK9),"NA")</f>
        <v>1087232.2599999998</v>
      </c>
      <c r="BL70" s="5">
        <f>IFERROR(SUM(BL68,BL64:BL66,BL57:BL62,BL53:BL55,BL48:BL51,BL42:BL46,BL34:BL40,BL28:BL32,BL24:BL26,BL18:BL22,BL11:BL16,BL4:BL9),"NA")</f>
        <v>1089841.9500000002</v>
      </c>
      <c r="BM70" s="5">
        <f>IFERROR(SUM(BM68,BM64:BM66,BM57:BM62,BM53:BM55,BM48:BM51,BM42:BM46,BM34:BM40,BM28:BM32,BM24:BM26,BM18:BM22,BM11:BM16,BM4:BM9),"NA")</f>
        <v>1072063.18</v>
      </c>
      <c r="BN70" s="5">
        <f t="shared" ref="BN70:BZ70" si="6">IFERROR(SUM(BN68,BN64:BN66,BN57:BN62,BN53:BN55,BN48:BN51,BN42:BN46,BN34:BN40,BN28:BN32,BN24:BN26,BN18:BN22,BN11:BN16,BN4:BN9),"NA")</f>
        <v>1077678.1300000001</v>
      </c>
      <c r="BO70" s="5">
        <f t="shared" si="6"/>
        <v>1090585.7199999997</v>
      </c>
      <c r="BP70" s="5">
        <f t="shared" si="6"/>
        <v>1098478.2500000002</v>
      </c>
      <c r="BQ70" s="5">
        <f t="shared" si="6"/>
        <v>1101983.4200000002</v>
      </c>
      <c r="BR70" s="5">
        <f t="shared" si="6"/>
        <v>1098678.1099999999</v>
      </c>
      <c r="BS70" s="5">
        <f t="shared" si="6"/>
        <v>1105620.5100000002</v>
      </c>
      <c r="BT70" s="5">
        <f t="shared" si="6"/>
        <v>1107747.4399999997</v>
      </c>
      <c r="BU70" s="5">
        <f t="shared" si="6"/>
        <v>1113179.0800000003</v>
      </c>
      <c r="BV70" s="5">
        <f t="shared" si="6"/>
        <v>1113985.2210000004</v>
      </c>
      <c r="BW70" s="5">
        <f t="shared" si="6"/>
        <v>1118714.7400000002</v>
      </c>
      <c r="BX70" s="5">
        <f t="shared" si="6"/>
        <v>1120338.8500000003</v>
      </c>
      <c r="BY70" s="5">
        <f t="shared" si="6"/>
        <v>1123688.2699999998</v>
      </c>
      <c r="BZ70" s="5">
        <f t="shared" si="6"/>
        <v>1119751.44</v>
      </c>
      <c r="CA70" s="5">
        <f t="shared" ref="CA70:DB70" si="7">IFERROR(SUM(CA68,CA64:CA66,CA57:CA62,CA53:CA55,CA48:CA51,CA42:CA46,CA34:CA40,CA28:CA32,CA24:CA26,CA18:CA22,CA11:CA16,CA4:CA9),"NA")</f>
        <v>1107621.2097080001</v>
      </c>
      <c r="CB70" s="5">
        <f t="shared" si="7"/>
        <v>1075728.0073849999</v>
      </c>
      <c r="CC70" s="5">
        <f t="shared" si="7"/>
        <v>1044372.1009759998</v>
      </c>
      <c r="CD70" s="5">
        <f t="shared" si="7"/>
        <v>1039409.112592</v>
      </c>
      <c r="CE70" s="5">
        <f t="shared" si="7"/>
        <v>992937.25231899996</v>
      </c>
      <c r="CF70" s="5">
        <f t="shared" si="7"/>
        <v>977968.97826300003</v>
      </c>
      <c r="CG70" s="5">
        <f t="shared" si="7"/>
        <v>1024297.3845280001</v>
      </c>
      <c r="CH70" s="5">
        <f t="shared" si="7"/>
        <v>1002325.353753</v>
      </c>
      <c r="CI70" s="5">
        <f t="shared" si="7"/>
        <v>1044470.0561079998</v>
      </c>
      <c r="CJ70" s="5">
        <f t="shared" si="7"/>
        <v>1015248.8312629998</v>
      </c>
      <c r="CK70" s="5">
        <f t="shared" si="7"/>
        <v>1001626.8994320001</v>
      </c>
      <c r="CL70" s="5">
        <f t="shared" si="7"/>
        <v>928663.57210600015</v>
      </c>
      <c r="CM70" s="5">
        <f t="shared" si="7"/>
        <v>967709.89184300008</v>
      </c>
      <c r="CN70" s="5">
        <f t="shared" si="7"/>
        <v>921131.18070400017</v>
      </c>
      <c r="CO70" s="5">
        <f t="shared" si="7"/>
        <v>831155.04090599995</v>
      </c>
      <c r="CP70" s="5">
        <f t="shared" si="7"/>
        <v>893042.12052799959</v>
      </c>
      <c r="CQ70" s="5">
        <f t="shared" si="7"/>
        <v>793945.20802200004</v>
      </c>
      <c r="CR70" s="5">
        <f t="shared" si="7"/>
        <v>844893.59910799994</v>
      </c>
      <c r="CS70" s="5">
        <f t="shared" si="7"/>
        <v>796963.05990900006</v>
      </c>
      <c r="CT70" s="5">
        <f t="shared" si="7"/>
        <v>804242.6571480002</v>
      </c>
      <c r="CU70" s="5">
        <f t="shared" si="7"/>
        <v>771909.36911900016</v>
      </c>
      <c r="CV70" s="5">
        <f t="shared" si="7"/>
        <v>743598.04197100014</v>
      </c>
      <c r="CW70" s="5">
        <f t="shared" si="7"/>
        <v>815746.44935899996</v>
      </c>
      <c r="CX70" s="5">
        <f t="shared" si="7"/>
        <v>831357.93171000015</v>
      </c>
      <c r="CY70" s="5">
        <f t="shared" si="7"/>
        <v>882461.37029699993</v>
      </c>
      <c r="CZ70" s="5">
        <f t="shared" si="7"/>
        <v>857304.16653900011</v>
      </c>
      <c r="DA70" s="5">
        <f t="shared" si="7"/>
        <v>887104.95286400034</v>
      </c>
      <c r="DB70" s="5" t="str">
        <f t="shared" si="7"/>
        <v>NA</v>
      </c>
      <c r="DC70" s="5"/>
      <c r="DD70" s="26" t="e">
        <f>DB70/C70-1</f>
        <v>#VALUE!</v>
      </c>
      <c r="DE70" s="5"/>
      <c r="DF70" s="5"/>
      <c r="DG70" s="5"/>
      <c r="DH70" s="5"/>
      <c r="DI70" s="5"/>
      <c r="DJ70" s="5"/>
    </row>
    <row r="71" spans="1:114" s="7" customFormat="1">
      <c r="A71" s="7" t="s">
        <v>66</v>
      </c>
      <c r="D71" s="8">
        <f>IFERROR(D70/C70-1,"NA")</f>
        <v>4.6790799999998356E-3</v>
      </c>
      <c r="E71" s="8">
        <f t="shared" ref="E71:BJ71" si="8">IFERROR(E70/D70-1,"NA")</f>
        <v>-1.4142924126577805E-3</v>
      </c>
      <c r="F71" s="8">
        <f t="shared" si="8"/>
        <v>-3.5894748806279964E-3</v>
      </c>
      <c r="G71" s="8">
        <f t="shared" si="8"/>
        <v>3.3234399398991421E-3</v>
      </c>
      <c r="H71" s="8">
        <f t="shared" si="8"/>
        <v>1.0669811430803477E-3</v>
      </c>
      <c r="I71" s="8">
        <f t="shared" si="8"/>
        <v>3.9866561952051072E-4</v>
      </c>
      <c r="J71" s="8">
        <f t="shared" si="8"/>
        <v>-4.4885819772324531E-3</v>
      </c>
      <c r="K71" s="8">
        <f t="shared" si="8"/>
        <v>1.5397755618993259E-3</v>
      </c>
      <c r="L71" s="8">
        <f t="shared" si="8"/>
        <v>3.3095989142559734E-3</v>
      </c>
      <c r="M71" s="8">
        <f t="shared" si="8"/>
        <v>1.6254951493255287E-3</v>
      </c>
      <c r="N71" s="8">
        <f t="shared" si="8"/>
        <v>6.0945303366066739E-3</v>
      </c>
      <c r="O71" s="8">
        <f t="shared" si="8"/>
        <v>8.2908473084963852E-4</v>
      </c>
      <c r="P71" s="8">
        <f t="shared" si="8"/>
        <v>5.9768983847741097E-5</v>
      </c>
      <c r="Q71" s="8">
        <f t="shared" si="8"/>
        <v>-6.2641196648538511E-4</v>
      </c>
      <c r="R71" s="8">
        <f t="shared" si="8"/>
        <v>-1.7918893688912974E-3</v>
      </c>
      <c r="S71" s="8">
        <f t="shared" si="8"/>
        <v>-1.4901988572404434E-3</v>
      </c>
      <c r="T71" s="8">
        <f t="shared" si="8"/>
        <v>7.6108454658085911E-3</v>
      </c>
      <c r="U71" s="8">
        <f t="shared" si="8"/>
        <v>5.8299816669822313E-3</v>
      </c>
      <c r="V71" s="8">
        <f t="shared" si="8"/>
        <v>3.5388143809198525E-3</v>
      </c>
      <c r="W71" s="8">
        <f t="shared" si="8"/>
        <v>-3.7680128466389684E-3</v>
      </c>
      <c r="X71" s="8">
        <f t="shared" si="8"/>
        <v>-7.4781544377190423E-3</v>
      </c>
      <c r="Y71" s="8">
        <f t="shared" si="8"/>
        <v>-3.2163797211012257E-3</v>
      </c>
      <c r="Z71" s="8">
        <f t="shared" si="8"/>
        <v>5.9333459906589781E-3</v>
      </c>
      <c r="AA71" s="8">
        <f t="shared" si="8"/>
        <v>2.1258768704248698E-3</v>
      </c>
      <c r="AB71" s="8">
        <f t="shared" si="8"/>
        <v>7.0534725944122467E-3</v>
      </c>
      <c r="AC71" s="8">
        <f t="shared" si="8"/>
        <v>-3.1115359552238431E-3</v>
      </c>
      <c r="AD71" s="8">
        <f t="shared" si="8"/>
        <v>-4.780670810555776E-5</v>
      </c>
      <c r="AE71" s="8">
        <f t="shared" si="8"/>
        <v>1.3952004105950433E-3</v>
      </c>
      <c r="AF71" s="8">
        <f t="shared" si="8"/>
        <v>4.5361212622998526E-3</v>
      </c>
      <c r="AG71" s="8">
        <f t="shared" si="8"/>
        <v>3.6238987951040524E-3</v>
      </c>
      <c r="AH71" s="8">
        <f t="shared" si="8"/>
        <v>7.5009801827059519E-3</v>
      </c>
      <c r="AI71" s="8">
        <f t="shared" si="8"/>
        <v>4.4028475523605337E-4</v>
      </c>
      <c r="AJ71" s="8">
        <f t="shared" si="8"/>
        <v>1.1937115448159563E-3</v>
      </c>
      <c r="AK71" s="8">
        <f t="shared" si="8"/>
        <v>4.6256438356322427E-3</v>
      </c>
      <c r="AL71" s="8">
        <f t="shared" si="8"/>
        <v>4.2332619201721489E-3</v>
      </c>
      <c r="AM71" s="8">
        <f t="shared" si="8"/>
        <v>-6.5723772961756577E-4</v>
      </c>
      <c r="AN71" s="8">
        <f t="shared" si="8"/>
        <v>1.0105871590249116E-3</v>
      </c>
      <c r="AO71" s="8">
        <f t="shared" si="8"/>
        <v>5.8097379380641634E-3</v>
      </c>
      <c r="AP71" s="8">
        <f t="shared" si="8"/>
        <v>1.6068756193206024E-3</v>
      </c>
      <c r="AQ71" s="8">
        <f t="shared" si="8"/>
        <v>-5.4728616461066082E-3</v>
      </c>
      <c r="AR71" s="8">
        <f t="shared" si="8"/>
        <v>2.8884402295739076E-3</v>
      </c>
      <c r="AS71" s="8">
        <f t="shared" si="8"/>
        <v>5.8956717127067737E-3</v>
      </c>
      <c r="AT71" s="8">
        <f t="shared" si="8"/>
        <v>-4.0699058037499958E-3</v>
      </c>
      <c r="AU71" s="8">
        <f t="shared" si="8"/>
        <v>4.8546314470481189E-3</v>
      </c>
      <c r="AV71" s="8">
        <f t="shared" si="8"/>
        <v>-3.6190645279016165E-3</v>
      </c>
      <c r="AW71" s="8">
        <f t="shared" si="8"/>
        <v>3.6943257647117367E-3</v>
      </c>
      <c r="AX71" s="8">
        <f t="shared" si="8"/>
        <v>6.8882501075751001E-3</v>
      </c>
      <c r="AY71" s="8">
        <f t="shared" si="8"/>
        <v>-1.8602937102006889E-3</v>
      </c>
      <c r="AZ71" s="8">
        <f t="shared" si="8"/>
        <v>7.2435632193736943E-3</v>
      </c>
      <c r="BA71" s="8">
        <f t="shared" si="8"/>
        <v>6.8091411281834269E-5</v>
      </c>
      <c r="BB71" s="8">
        <f t="shared" si="8"/>
        <v>6.5078604614681179E-3</v>
      </c>
      <c r="BC71" s="8">
        <f t="shared" si="8"/>
        <v>8.6045810362811448E-3</v>
      </c>
      <c r="BD71" s="8">
        <f t="shared" si="8"/>
        <v>2.8552834857542564E-3</v>
      </c>
      <c r="BE71" s="8">
        <f t="shared" si="8"/>
        <v>3.372061760225975E-3</v>
      </c>
      <c r="BF71" s="8">
        <f t="shared" si="8"/>
        <v>5.443689668089835E-4</v>
      </c>
      <c r="BG71" s="8">
        <f t="shared" si="8"/>
        <v>-2.1313593129157482E-4</v>
      </c>
      <c r="BH71" s="8">
        <f t="shared" si="8"/>
        <v>-7.7071916430432319E-3</v>
      </c>
      <c r="BI71" s="8">
        <f t="shared" si="8"/>
        <v>-1.0799385655355209E-2</v>
      </c>
      <c r="BJ71" s="8">
        <f t="shared" si="8"/>
        <v>6.7474074948450369E-3</v>
      </c>
      <c r="BK71" s="8">
        <f t="shared" ref="BK71:DB71" si="9">IFERROR(BK70/BJ70-1,"NA")</f>
        <v>-1.5097767494641756E-3</v>
      </c>
      <c r="BL71" s="8">
        <f t="shared" si="9"/>
        <v>2.4003058923218745E-3</v>
      </c>
      <c r="BM71" s="8">
        <f t="shared" si="9"/>
        <v>-1.6313163573856038E-2</v>
      </c>
      <c r="BN71" s="8">
        <f t="shared" si="9"/>
        <v>5.2375178112171739E-3</v>
      </c>
      <c r="BO71" s="8">
        <f t="shared" si="9"/>
        <v>1.1977221807405236E-2</v>
      </c>
      <c r="BP71" s="8">
        <f t="shared" si="9"/>
        <v>7.2369643717693499E-3</v>
      </c>
      <c r="BQ71" s="8">
        <f t="shared" si="9"/>
        <v>3.1909325469119398E-3</v>
      </c>
      <c r="BR71" s="8">
        <f t="shared" si="9"/>
        <v>-2.9994189930736548E-3</v>
      </c>
      <c r="BS71" s="8">
        <f t="shared" si="9"/>
        <v>6.3188662237025905E-3</v>
      </c>
      <c r="BT71" s="8">
        <f t="shared" si="9"/>
        <v>1.9237432561733936E-3</v>
      </c>
      <c r="BU71" s="8">
        <f t="shared" si="9"/>
        <v>4.9033198397647748E-3</v>
      </c>
      <c r="BV71" s="8">
        <f t="shared" si="9"/>
        <v>7.2417907817667881E-4</v>
      </c>
      <c r="BW71" s="8">
        <f t="shared" si="9"/>
        <v>4.245585049821532E-3</v>
      </c>
      <c r="BX71" s="8">
        <f t="shared" si="9"/>
        <v>1.4517641914686408E-3</v>
      </c>
      <c r="BY71" s="8">
        <f t="shared" si="9"/>
        <v>2.9896490691181388E-3</v>
      </c>
      <c r="BZ71" s="8">
        <f t="shared" si="9"/>
        <v>-3.5034894508597647E-3</v>
      </c>
      <c r="CA71" s="8">
        <f t="shared" si="9"/>
        <v>-1.0832966905583885E-2</v>
      </c>
      <c r="CB71" s="8">
        <f t="shared" si="9"/>
        <v>-2.8794322502553094E-2</v>
      </c>
      <c r="CC71" s="8">
        <f t="shared" si="9"/>
        <v>-2.9148545165448958E-2</v>
      </c>
      <c r="CD71" s="8">
        <f t="shared" si="9"/>
        <v>-4.7521265450902739E-3</v>
      </c>
      <c r="CE71" s="8">
        <f t="shared" si="9"/>
        <v>-4.4709883442441756E-2</v>
      </c>
      <c r="CF71" s="8">
        <f t="shared" si="9"/>
        <v>-1.507474316331836E-2</v>
      </c>
      <c r="CG71" s="8">
        <f t="shared" si="9"/>
        <v>4.7372061174461244E-2</v>
      </c>
      <c r="CH71" s="8">
        <f t="shared" si="9"/>
        <v>-2.1450831669481363E-2</v>
      </c>
      <c r="CI71" s="8">
        <f t="shared" si="9"/>
        <v>4.2046928372307057E-2</v>
      </c>
      <c r="CJ71" s="8">
        <f t="shared" si="9"/>
        <v>-2.7977082420042487E-2</v>
      </c>
      <c r="CK71" s="8">
        <f t="shared" si="9"/>
        <v>-1.3417333181318325E-2</v>
      </c>
      <c r="CL71" s="8">
        <f t="shared" si="9"/>
        <v>-7.2844816136004131E-2</v>
      </c>
      <c r="CM71" s="8">
        <f t="shared" si="9"/>
        <v>4.2045710534819092E-2</v>
      </c>
      <c r="CN71" s="8">
        <f t="shared" si="9"/>
        <v>-4.813292860972096E-2</v>
      </c>
      <c r="CO71" s="8">
        <f t="shared" si="9"/>
        <v>-9.7680050011154207E-2</v>
      </c>
      <c r="CP71" s="8">
        <f t="shared" si="9"/>
        <v>7.4459128052137835E-2</v>
      </c>
      <c r="CQ71" s="8">
        <f t="shared" si="9"/>
        <v>-0.11096555271929365</v>
      </c>
      <c r="CR71" s="8">
        <f t="shared" si="9"/>
        <v>6.4171167696736253E-2</v>
      </c>
      <c r="CS71" s="8">
        <f t="shared" si="9"/>
        <v>-5.6729674895871773E-2</v>
      </c>
      <c r="CT71" s="8">
        <f t="shared" si="9"/>
        <v>9.1341714631432147E-3</v>
      </c>
      <c r="CU71" s="8">
        <f t="shared" si="9"/>
        <v>-4.0203398491271414E-2</v>
      </c>
      <c r="CV71" s="8">
        <f t="shared" si="9"/>
        <v>-3.6677009349313172E-2</v>
      </c>
      <c r="CW71" s="8">
        <f t="shared" si="9"/>
        <v>9.7026085755633984E-2</v>
      </c>
      <c r="CX71" s="8">
        <f t="shared" si="9"/>
        <v>1.9137665095897649E-2</v>
      </c>
      <c r="CY71" s="8">
        <f t="shared" si="9"/>
        <v>6.1469839449160402E-2</v>
      </c>
      <c r="CZ71" s="8">
        <f t="shared" si="9"/>
        <v>-2.8507994349410426E-2</v>
      </c>
      <c r="DA71" s="8">
        <f t="shared" si="9"/>
        <v>3.4761042215982974E-2</v>
      </c>
      <c r="DB71" s="8" t="str">
        <f t="shared" si="9"/>
        <v>NA</v>
      </c>
      <c r="DC71" s="8"/>
      <c r="DD71" s="8" t="s">
        <v>137</v>
      </c>
      <c r="DE71" s="8" t="s">
        <v>139</v>
      </c>
      <c r="DF71" s="8" t="s">
        <v>138</v>
      </c>
      <c r="DG71" s="8" t="s">
        <v>140</v>
      </c>
      <c r="DH71" s="8" t="s">
        <v>141</v>
      </c>
      <c r="DI71" s="8"/>
      <c r="DJ71" s="8"/>
    </row>
    <row r="72" spans="1:114" s="7" customFormat="1">
      <c r="D72" s="25">
        <f t="shared" ref="D72:AI72" si="10">+D71+1</f>
        <v>1.0046790799999998</v>
      </c>
      <c r="E72" s="25">
        <f t="shared" si="10"/>
        <v>0.99858570758734222</v>
      </c>
      <c r="F72" s="25">
        <f t="shared" si="10"/>
        <v>0.996410525119372</v>
      </c>
      <c r="G72" s="25">
        <f t="shared" si="10"/>
        <v>1.0033234399398991</v>
      </c>
      <c r="H72" s="25">
        <f t="shared" si="10"/>
        <v>1.0010669811430803</v>
      </c>
      <c r="I72" s="25">
        <f t="shared" si="10"/>
        <v>1.0003986656195205</v>
      </c>
      <c r="J72" s="25">
        <f t="shared" si="10"/>
        <v>0.99551141802276755</v>
      </c>
      <c r="K72" s="25">
        <f t="shared" si="10"/>
        <v>1.0015397755618993</v>
      </c>
      <c r="L72" s="25">
        <f t="shared" si="10"/>
        <v>1.003309598914256</v>
      </c>
      <c r="M72" s="25">
        <f t="shared" si="10"/>
        <v>1.0016254951493255</v>
      </c>
      <c r="N72" s="25">
        <f t="shared" si="10"/>
        <v>1.0060945303366067</v>
      </c>
      <c r="O72" s="25">
        <f t="shared" si="10"/>
        <v>1.0008290847308496</v>
      </c>
      <c r="P72" s="25">
        <f t="shared" si="10"/>
        <v>1.0000597689838477</v>
      </c>
      <c r="Q72" s="25">
        <f t="shared" si="10"/>
        <v>0.99937358803351461</v>
      </c>
      <c r="R72" s="25">
        <f t="shared" si="10"/>
        <v>0.9982081106311087</v>
      </c>
      <c r="S72" s="25">
        <f t="shared" si="10"/>
        <v>0.99850980114275956</v>
      </c>
      <c r="T72" s="25">
        <f t="shared" si="10"/>
        <v>1.0076108454658086</v>
      </c>
      <c r="U72" s="25">
        <f t="shared" si="10"/>
        <v>1.0058299816669822</v>
      </c>
      <c r="V72" s="25">
        <f t="shared" si="10"/>
        <v>1.0035388143809199</v>
      </c>
      <c r="W72" s="25">
        <f t="shared" si="10"/>
        <v>0.99623198715336103</v>
      </c>
      <c r="X72" s="25">
        <f t="shared" si="10"/>
        <v>0.99252184556228096</v>
      </c>
      <c r="Y72" s="25">
        <f t="shared" si="10"/>
        <v>0.99678362027889877</v>
      </c>
      <c r="Z72" s="25">
        <f t="shared" si="10"/>
        <v>1.005933345990659</v>
      </c>
      <c r="AA72" s="25">
        <f t="shared" si="10"/>
        <v>1.0021258768704249</v>
      </c>
      <c r="AB72" s="25">
        <f t="shared" si="10"/>
        <v>1.0070534725944122</v>
      </c>
      <c r="AC72" s="25">
        <f t="shared" si="10"/>
        <v>0.99688846404477616</v>
      </c>
      <c r="AD72" s="25">
        <f t="shared" si="10"/>
        <v>0.99995219329189444</v>
      </c>
      <c r="AE72" s="25">
        <f t="shared" si="10"/>
        <v>1.001395200410595</v>
      </c>
      <c r="AF72" s="25">
        <f t="shared" si="10"/>
        <v>1.0045361212622999</v>
      </c>
      <c r="AG72" s="25">
        <f t="shared" si="10"/>
        <v>1.0036238987951041</v>
      </c>
      <c r="AH72" s="25">
        <f t="shared" si="10"/>
        <v>1.007500980182706</v>
      </c>
      <c r="AI72" s="25">
        <f t="shared" si="10"/>
        <v>1.0004402847552361</v>
      </c>
      <c r="AJ72" s="25">
        <f t="shared" ref="AJ72:BO72" si="11">+AJ71+1</f>
        <v>1.001193711544816</v>
      </c>
      <c r="AK72" s="25">
        <f t="shared" si="11"/>
        <v>1.0046256438356322</v>
      </c>
      <c r="AL72" s="25">
        <f t="shared" si="11"/>
        <v>1.0042332619201721</v>
      </c>
      <c r="AM72" s="25">
        <f t="shared" si="11"/>
        <v>0.99934276227038243</v>
      </c>
      <c r="AN72" s="25">
        <f t="shared" si="11"/>
        <v>1.0010105871590249</v>
      </c>
      <c r="AO72" s="25">
        <f t="shared" si="11"/>
        <v>1.0058097379380642</v>
      </c>
      <c r="AP72" s="25">
        <f t="shared" si="11"/>
        <v>1.0016068756193206</v>
      </c>
      <c r="AQ72" s="25">
        <f t="shared" si="11"/>
        <v>0.99452713835389339</v>
      </c>
      <c r="AR72" s="25">
        <f t="shared" si="11"/>
        <v>1.0028884402295739</v>
      </c>
      <c r="AS72" s="25">
        <f t="shared" si="11"/>
        <v>1.0058956717127068</v>
      </c>
      <c r="AT72" s="25">
        <f t="shared" si="11"/>
        <v>0.99593009419625</v>
      </c>
      <c r="AU72" s="25">
        <f t="shared" si="11"/>
        <v>1.0048546314470481</v>
      </c>
      <c r="AV72" s="25">
        <f t="shared" si="11"/>
        <v>0.99638093547209838</v>
      </c>
      <c r="AW72" s="25">
        <f t="shared" si="11"/>
        <v>1.0036943257647117</v>
      </c>
      <c r="AX72" s="25">
        <f t="shared" si="11"/>
        <v>1.0068882501075751</v>
      </c>
      <c r="AY72" s="25">
        <f t="shared" si="11"/>
        <v>0.99813970628979931</v>
      </c>
      <c r="AZ72" s="25">
        <f t="shared" si="11"/>
        <v>1.0072435632193737</v>
      </c>
      <c r="BA72" s="25">
        <f t="shared" si="11"/>
        <v>1.0000680914112818</v>
      </c>
      <c r="BB72" s="25">
        <f t="shared" si="11"/>
        <v>1.0065078604614681</v>
      </c>
      <c r="BC72" s="25">
        <f t="shared" si="11"/>
        <v>1.0086045810362811</v>
      </c>
      <c r="BD72" s="25">
        <f t="shared" si="11"/>
        <v>1.0028552834857543</v>
      </c>
      <c r="BE72" s="25">
        <f t="shared" si="11"/>
        <v>1.003372061760226</v>
      </c>
      <c r="BF72" s="25">
        <f t="shared" si="11"/>
        <v>1.000544368966809</v>
      </c>
      <c r="BG72" s="25">
        <f t="shared" si="11"/>
        <v>0.99978686406870843</v>
      </c>
      <c r="BH72" s="25">
        <f t="shared" si="11"/>
        <v>0.99229280835695677</v>
      </c>
      <c r="BI72" s="25">
        <f t="shared" si="11"/>
        <v>0.98920061434464479</v>
      </c>
      <c r="BJ72" s="25">
        <f t="shared" si="11"/>
        <v>1.006747407494845</v>
      </c>
      <c r="BK72" s="25">
        <f t="shared" si="11"/>
        <v>0.99849022325053582</v>
      </c>
      <c r="BL72" s="25">
        <f t="shared" si="11"/>
        <v>1.0024003058923219</v>
      </c>
      <c r="BM72" s="25">
        <f t="shared" si="11"/>
        <v>0.98368683642614396</v>
      </c>
      <c r="BN72" s="25">
        <f t="shared" si="11"/>
        <v>1.0052375178112172</v>
      </c>
      <c r="BO72" s="25">
        <f t="shared" si="11"/>
        <v>1.0119772218074052</v>
      </c>
      <c r="BP72" s="25">
        <f t="shared" ref="BP72:CU72" si="12">+BP71+1</f>
        <v>1.0072369643717693</v>
      </c>
      <c r="BQ72" s="25">
        <f t="shared" si="12"/>
        <v>1.0031909325469119</v>
      </c>
      <c r="BR72" s="25">
        <f t="shared" si="12"/>
        <v>0.99700058100692635</v>
      </c>
      <c r="BS72" s="25">
        <f t="shared" si="12"/>
        <v>1.0063188662237026</v>
      </c>
      <c r="BT72" s="25">
        <f t="shared" si="12"/>
        <v>1.0019237432561734</v>
      </c>
      <c r="BU72" s="25">
        <f t="shared" si="12"/>
        <v>1.0049033198397648</v>
      </c>
      <c r="BV72" s="25">
        <f t="shared" si="12"/>
        <v>1.0007241790781767</v>
      </c>
      <c r="BW72" s="25">
        <f t="shared" si="12"/>
        <v>1.0042455850498215</v>
      </c>
      <c r="BX72" s="25">
        <f t="shared" si="12"/>
        <v>1.0014517641914686</v>
      </c>
      <c r="BY72" s="25">
        <f t="shared" si="12"/>
        <v>1.0029896490691181</v>
      </c>
      <c r="BZ72" s="25">
        <f t="shared" si="12"/>
        <v>0.99649651054914024</v>
      </c>
      <c r="CA72" s="25">
        <f t="shared" si="12"/>
        <v>0.98916703309441611</v>
      </c>
      <c r="CB72" s="25">
        <f t="shared" si="12"/>
        <v>0.97120567749744691</v>
      </c>
      <c r="CC72" s="25">
        <f t="shared" si="12"/>
        <v>0.97085145483455104</v>
      </c>
      <c r="CD72" s="25">
        <f t="shared" si="12"/>
        <v>0.99524787345490973</v>
      </c>
      <c r="CE72" s="25">
        <f t="shared" si="12"/>
        <v>0.95529011655755824</v>
      </c>
      <c r="CF72" s="25">
        <f t="shared" si="12"/>
        <v>0.98492525683668164</v>
      </c>
      <c r="CG72" s="25">
        <f t="shared" si="12"/>
        <v>1.0473720611744612</v>
      </c>
      <c r="CH72" s="25">
        <f t="shared" si="12"/>
        <v>0.97854916833051864</v>
      </c>
      <c r="CI72" s="25">
        <f t="shared" si="12"/>
        <v>1.0420469283723071</v>
      </c>
      <c r="CJ72" s="25">
        <f t="shared" si="12"/>
        <v>0.97202291757995751</v>
      </c>
      <c r="CK72" s="25">
        <f t="shared" si="12"/>
        <v>0.98658266681868168</v>
      </c>
      <c r="CL72" s="25">
        <f t="shared" si="12"/>
        <v>0.92715518386399587</v>
      </c>
      <c r="CM72" s="25">
        <f t="shared" si="12"/>
        <v>1.0420457105348191</v>
      </c>
      <c r="CN72" s="25">
        <f t="shared" si="12"/>
        <v>0.95186707139027904</v>
      </c>
      <c r="CO72" s="25">
        <f t="shared" si="12"/>
        <v>0.90231994998884579</v>
      </c>
      <c r="CP72" s="25">
        <f t="shared" si="12"/>
        <v>1.0744591280521378</v>
      </c>
      <c r="CQ72" s="25">
        <f t="shared" si="12"/>
        <v>0.88903444728070635</v>
      </c>
      <c r="CR72" s="25">
        <f t="shared" si="12"/>
        <v>1.0641711676967363</v>
      </c>
      <c r="CS72" s="25">
        <f t="shared" si="12"/>
        <v>0.94327032510412823</v>
      </c>
      <c r="CT72" s="25">
        <f t="shared" si="12"/>
        <v>1.0091341714631432</v>
      </c>
      <c r="CU72" s="25">
        <f t="shared" si="12"/>
        <v>0.95979660150872859</v>
      </c>
      <c r="CV72" s="25">
        <f t="shared" ref="CV72:DB72" si="13">+CV71+1</f>
        <v>0.96332299065068683</v>
      </c>
      <c r="CW72" s="25">
        <f t="shared" si="13"/>
        <v>1.097026085755634</v>
      </c>
      <c r="CX72" s="25">
        <f t="shared" si="13"/>
        <v>1.0191376650958976</v>
      </c>
      <c r="CY72" s="25">
        <f t="shared" si="13"/>
        <v>1.0614698394491604</v>
      </c>
      <c r="CZ72" s="25">
        <f t="shared" si="13"/>
        <v>0.97149200565058957</v>
      </c>
      <c r="DA72" s="25">
        <f t="shared" si="13"/>
        <v>1.034761042215983</v>
      </c>
      <c r="DB72" s="25" t="e">
        <f t="shared" si="13"/>
        <v>#VALUE!</v>
      </c>
      <c r="DC72" s="8"/>
      <c r="DD72" s="27" t="e">
        <f>(PRODUCT(D72:DB72)^(1/COUNT(D72:DB72)))-1</f>
        <v>#VALUE!</v>
      </c>
      <c r="DE72" s="26" t="e">
        <f>((1+DD72)^(365/(DB2-C2)))-1</f>
        <v>#VALUE!</v>
      </c>
      <c r="DF72" s="8">
        <f>STDEVA(D71:DB71)</f>
        <v>2.6930545198686724E-2</v>
      </c>
      <c r="DG72" s="8">
        <f>DF72*SQRT(365)</f>
        <v>0.51450734359672223</v>
      </c>
      <c r="DH72" s="27" t="e">
        <f>(DE72-$DB$87)/DG72</f>
        <v>#VALUE!</v>
      </c>
      <c r="DI72" s="8"/>
      <c r="DJ72" s="8"/>
    </row>
    <row r="74" spans="1:114">
      <c r="A74" t="s">
        <v>67</v>
      </c>
      <c r="B74" t="s">
        <v>68</v>
      </c>
      <c r="C74">
        <v>3037.56</v>
      </c>
      <c r="D74">
        <v>3066.91</v>
      </c>
      <c r="E74">
        <v>3078.27</v>
      </c>
      <c r="F74">
        <v>3074.62</v>
      </c>
      <c r="G74">
        <v>3076.78</v>
      </c>
      <c r="H74">
        <v>3085.18</v>
      </c>
      <c r="I74">
        <v>3093.08</v>
      </c>
      <c r="J74">
        <v>3087.01</v>
      </c>
      <c r="K74">
        <v>3091.84</v>
      </c>
      <c r="L74">
        <v>3094.04</v>
      </c>
      <c r="M74">
        <v>3096.63</v>
      </c>
      <c r="N74">
        <v>3120.46</v>
      </c>
      <c r="O74">
        <v>3122.03</v>
      </c>
      <c r="P74">
        <v>3120.18</v>
      </c>
      <c r="Q74">
        <v>3108.46</v>
      </c>
      <c r="R74">
        <v>3103.54</v>
      </c>
      <c r="S74">
        <v>3110.29</v>
      </c>
      <c r="T74">
        <v>3133.64</v>
      </c>
      <c r="U74">
        <v>3140.52</v>
      </c>
      <c r="V74">
        <v>3153.63</v>
      </c>
      <c r="W74">
        <v>3140.98</v>
      </c>
      <c r="X74">
        <v>3113.87</v>
      </c>
      <c r="Y74">
        <v>3093.2</v>
      </c>
      <c r="Z74">
        <v>3112.76</v>
      </c>
      <c r="AA74">
        <v>3117.43</v>
      </c>
      <c r="AB74">
        <v>3145.91</v>
      </c>
      <c r="AC74">
        <v>3135.96</v>
      </c>
      <c r="AD74">
        <v>3132.52</v>
      </c>
      <c r="AE74">
        <v>3141.63</v>
      </c>
      <c r="AF74">
        <v>3168.57</v>
      </c>
      <c r="AG74">
        <v>3168.8</v>
      </c>
      <c r="AH74">
        <v>3191.45</v>
      </c>
      <c r="AI74">
        <v>3192.52</v>
      </c>
      <c r="AJ74">
        <v>3191.14</v>
      </c>
      <c r="AK74">
        <v>3205.37</v>
      </c>
      <c r="AL74">
        <v>3221.22</v>
      </c>
      <c r="AM74">
        <v>3224.01</v>
      </c>
      <c r="AN74">
        <v>3223.38</v>
      </c>
      <c r="AO74">
        <v>3239.91</v>
      </c>
      <c r="AP74">
        <v>3240.02</v>
      </c>
      <c r="AQ74">
        <v>3221.29</v>
      </c>
      <c r="AR74">
        <v>3230.78</v>
      </c>
      <c r="AS74">
        <v>3257.85</v>
      </c>
      <c r="AT74">
        <v>3234.85</v>
      </c>
      <c r="AU74">
        <v>3246.28</v>
      </c>
      <c r="AV74">
        <v>3237.18</v>
      </c>
      <c r="AW74">
        <v>3253.05</v>
      </c>
      <c r="AX74">
        <v>3274.7</v>
      </c>
      <c r="AY74">
        <v>3265.35</v>
      </c>
      <c r="AZ74">
        <v>3288.13</v>
      </c>
      <c r="BA74">
        <v>3283.15</v>
      </c>
      <c r="BB74">
        <v>3289.29</v>
      </c>
      <c r="BC74">
        <v>3316.81</v>
      </c>
      <c r="BD74">
        <v>3329.62</v>
      </c>
      <c r="BE74">
        <v>3320.79</v>
      </c>
      <c r="BF74">
        <v>3321.75</v>
      </c>
      <c r="BG74">
        <v>3325.54</v>
      </c>
      <c r="BH74">
        <v>3295.47</v>
      </c>
      <c r="BI74">
        <v>3243.63</v>
      </c>
      <c r="BJ74">
        <v>3276.24</v>
      </c>
      <c r="BK74">
        <v>3273.4</v>
      </c>
      <c r="BL74">
        <v>3283.66</v>
      </c>
      <c r="BM74">
        <v>3225.52</v>
      </c>
      <c r="BN74">
        <v>3248.92</v>
      </c>
      <c r="BO74">
        <v>3297.59</v>
      </c>
      <c r="BP74">
        <v>3334.69</v>
      </c>
      <c r="BQ74">
        <v>3345.78</v>
      </c>
      <c r="BR74">
        <v>3327.71</v>
      </c>
      <c r="BS74">
        <v>3352.09</v>
      </c>
      <c r="BT74">
        <v>3357.75</v>
      </c>
      <c r="BU74">
        <v>3379.45</v>
      </c>
      <c r="BV74">
        <v>3373.94</v>
      </c>
      <c r="BW74">
        <v>3380.16</v>
      </c>
      <c r="BX74">
        <v>3370.29</v>
      </c>
      <c r="BY74">
        <v>3386.15</v>
      </c>
      <c r="BZ74">
        <v>3373.23</v>
      </c>
      <c r="CA74">
        <v>3337.75</v>
      </c>
      <c r="CB74">
        <v>3225.889893</v>
      </c>
      <c r="CC74">
        <v>3128.209961</v>
      </c>
      <c r="CD74">
        <v>3116.389893</v>
      </c>
      <c r="CE74">
        <v>2978.76001</v>
      </c>
      <c r="CF74">
        <v>2954.219971</v>
      </c>
      <c r="CG74">
        <v>3090.2299800000001</v>
      </c>
      <c r="CH74">
        <v>3003.3701169999999</v>
      </c>
      <c r="CI74">
        <v>3130.1201169999999</v>
      </c>
      <c r="CJ74">
        <v>3023.9399410000001</v>
      </c>
      <c r="CK74">
        <v>2972.3701169999999</v>
      </c>
      <c r="CL74">
        <v>2746.5600589999999</v>
      </c>
      <c r="CM74">
        <v>2882.2299800000001</v>
      </c>
      <c r="CN74">
        <v>2741.3798830000001</v>
      </c>
      <c r="CO74">
        <v>2480.639893</v>
      </c>
      <c r="CP74">
        <v>2711.0200199999999</v>
      </c>
      <c r="CQ74">
        <v>2386.1298830000001</v>
      </c>
      <c r="CR74">
        <v>2529.1899410000001</v>
      </c>
      <c r="CS74">
        <v>2398.1000979999999</v>
      </c>
      <c r="CT74">
        <v>2409.389893</v>
      </c>
      <c r="CU74">
        <v>2304.919922</v>
      </c>
      <c r="CV74">
        <v>2237.3999020000001</v>
      </c>
      <c r="CW74">
        <v>2447.330078</v>
      </c>
      <c r="CX74">
        <v>2475.5600589999999</v>
      </c>
      <c r="CY74">
        <v>2630.070068</v>
      </c>
      <c r="CZ74">
        <v>2541.469971</v>
      </c>
      <c r="DA74">
        <v>2626.6499020000001</v>
      </c>
      <c r="DB74">
        <v>2584.59</v>
      </c>
      <c r="DD74" s="26">
        <f>DB74/C74-1</f>
        <v>-0.14912298028680904</v>
      </c>
    </row>
    <row r="75" spans="1:114">
      <c r="A75" s="7" t="s">
        <v>66</v>
      </c>
      <c r="D75" s="8">
        <f t="shared" ref="D75:AI75" si="14">IFERROR(D74/C74-1,"NA")</f>
        <v>9.6623605788856981E-3</v>
      </c>
      <c r="E75" s="8">
        <f t="shared" si="14"/>
        <v>3.70405391746087E-3</v>
      </c>
      <c r="F75" s="8">
        <f t="shared" si="14"/>
        <v>-1.1857309462782739E-3</v>
      </c>
      <c r="G75" s="8">
        <f t="shared" si="14"/>
        <v>7.0252584059171674E-4</v>
      </c>
      <c r="H75" s="8">
        <f t="shared" si="14"/>
        <v>2.7301269509030224E-3</v>
      </c>
      <c r="I75" s="8">
        <f t="shared" si="14"/>
        <v>2.5606285532773221E-3</v>
      </c>
      <c r="J75" s="8">
        <f t="shared" si="14"/>
        <v>-1.9624452002533488E-3</v>
      </c>
      <c r="K75" s="8">
        <f t="shared" si="14"/>
        <v>1.5646207819215441E-3</v>
      </c>
      <c r="L75" s="8">
        <f t="shared" si="14"/>
        <v>7.1155040364301314E-4</v>
      </c>
      <c r="M75" s="8">
        <f t="shared" si="14"/>
        <v>8.3709325024883263E-4</v>
      </c>
      <c r="N75" s="8">
        <f t="shared" si="14"/>
        <v>7.6954624866387711E-3</v>
      </c>
      <c r="O75" s="8">
        <f t="shared" si="14"/>
        <v>5.0313094864229413E-4</v>
      </c>
      <c r="P75" s="8">
        <f t="shared" si="14"/>
        <v>-5.9256317203881803E-4</v>
      </c>
      <c r="Q75" s="8">
        <f t="shared" si="14"/>
        <v>-3.7561935529359936E-3</v>
      </c>
      <c r="R75" s="8">
        <f t="shared" si="14"/>
        <v>-1.5827773238195064E-3</v>
      </c>
      <c r="S75" s="8">
        <f t="shared" si="14"/>
        <v>2.1749357185665286E-3</v>
      </c>
      <c r="T75" s="8">
        <f t="shared" si="14"/>
        <v>7.5073385439943241E-3</v>
      </c>
      <c r="U75" s="8">
        <f t="shared" si="14"/>
        <v>2.1955297992111156E-3</v>
      </c>
      <c r="V75" s="8">
        <f t="shared" si="14"/>
        <v>4.1744679225097503E-3</v>
      </c>
      <c r="W75" s="8">
        <f t="shared" si="14"/>
        <v>-4.0112505271703291E-3</v>
      </c>
      <c r="X75" s="8">
        <f t="shared" si="14"/>
        <v>-8.6310641901572449E-3</v>
      </c>
      <c r="Y75" s="8">
        <f t="shared" si="14"/>
        <v>-6.6380420505672832E-3</v>
      </c>
      <c r="Z75" s="8">
        <f t="shared" si="14"/>
        <v>6.323548428811776E-3</v>
      </c>
      <c r="AA75" s="8">
        <f t="shared" si="14"/>
        <v>1.500276282141666E-3</v>
      </c>
      <c r="AB75" s="8">
        <f t="shared" si="14"/>
        <v>9.1357303933048417E-3</v>
      </c>
      <c r="AC75" s="8">
        <f t="shared" si="14"/>
        <v>-3.1628368262283102E-3</v>
      </c>
      <c r="AD75" s="8">
        <f t="shared" si="14"/>
        <v>-1.0969527672547441E-3</v>
      </c>
      <c r="AE75" s="8">
        <f t="shared" si="14"/>
        <v>2.9082017034209873E-3</v>
      </c>
      <c r="AF75" s="8">
        <f t="shared" si="14"/>
        <v>8.5751663945150547E-3</v>
      </c>
      <c r="AG75" s="8">
        <f t="shared" si="14"/>
        <v>7.258794976916505E-5</v>
      </c>
      <c r="AH75" s="8">
        <f t="shared" si="14"/>
        <v>7.1478162080280683E-3</v>
      </c>
      <c r="AI75" s="8">
        <f t="shared" si="14"/>
        <v>3.3527080167328194E-4</v>
      </c>
      <c r="AJ75" s="8">
        <f t="shared" ref="AJ75:BO75" si="15">IFERROR(AJ74/AI74-1,"NA")</f>
        <v>-4.3226040870536497E-4</v>
      </c>
      <c r="AK75" s="8">
        <f t="shared" si="15"/>
        <v>4.4592214694434418E-3</v>
      </c>
      <c r="AL75" s="8">
        <f t="shared" si="15"/>
        <v>4.9448269622538454E-3</v>
      </c>
      <c r="AM75" s="8">
        <f t="shared" si="15"/>
        <v>8.6613146571812294E-4</v>
      </c>
      <c r="AN75" s="8">
        <f t="shared" si="15"/>
        <v>-1.9540882317370389E-4</v>
      </c>
      <c r="AO75" s="8">
        <f t="shared" si="15"/>
        <v>5.1281573999961694E-3</v>
      </c>
      <c r="AP75" s="8">
        <f t="shared" si="15"/>
        <v>3.3951560382883272E-5</v>
      </c>
      <c r="AQ75" s="8">
        <f t="shared" si="15"/>
        <v>-5.7808285134042237E-3</v>
      </c>
      <c r="AR75" s="8">
        <f t="shared" si="15"/>
        <v>2.9460247292234509E-3</v>
      </c>
      <c r="AS75" s="8">
        <f t="shared" si="15"/>
        <v>8.3787815945375321E-3</v>
      </c>
      <c r="AT75" s="8">
        <f t="shared" si="15"/>
        <v>-7.059870773669763E-3</v>
      </c>
      <c r="AU75" s="8">
        <f t="shared" si="15"/>
        <v>3.5333941295578875E-3</v>
      </c>
      <c r="AV75" s="8">
        <f t="shared" si="15"/>
        <v>-2.8032085956850583E-3</v>
      </c>
      <c r="AW75" s="8">
        <f t="shared" si="15"/>
        <v>4.9024150649641385E-3</v>
      </c>
      <c r="AX75" s="8">
        <f t="shared" si="15"/>
        <v>6.6552927252885308E-3</v>
      </c>
      <c r="AY75" s="8">
        <f t="shared" si="15"/>
        <v>-2.8552233792408233E-3</v>
      </c>
      <c r="AZ75" s="8">
        <f t="shared" si="15"/>
        <v>6.9762812562206289E-3</v>
      </c>
      <c r="BA75" s="8">
        <f t="shared" si="15"/>
        <v>-1.5145386587512855E-3</v>
      </c>
      <c r="BB75" s="8">
        <f t="shared" si="15"/>
        <v>1.870155186330269E-3</v>
      </c>
      <c r="BC75" s="8">
        <f t="shared" si="15"/>
        <v>8.3665471879950104E-3</v>
      </c>
      <c r="BD75" s="8">
        <f t="shared" si="15"/>
        <v>3.862144651035182E-3</v>
      </c>
      <c r="BE75" s="8">
        <f t="shared" si="15"/>
        <v>-2.6519542770646609E-3</v>
      </c>
      <c r="BF75" s="8">
        <f t="shared" si="15"/>
        <v>2.8908783753256451E-4</v>
      </c>
      <c r="BG75" s="8">
        <f t="shared" si="15"/>
        <v>1.1409648528637462E-3</v>
      </c>
      <c r="BH75" s="8">
        <f t="shared" si="15"/>
        <v>-9.0421405245464381E-3</v>
      </c>
      <c r="BI75" s="8">
        <f t="shared" si="15"/>
        <v>-1.5730684849202037E-2</v>
      </c>
      <c r="BJ75" s="8">
        <f t="shared" si="15"/>
        <v>1.0053551114029613E-2</v>
      </c>
      <c r="BK75" s="8">
        <f t="shared" si="15"/>
        <v>-8.6684736160957954E-4</v>
      </c>
      <c r="BL75" s="8">
        <f t="shared" si="15"/>
        <v>3.1343557157694768E-3</v>
      </c>
      <c r="BM75" s="8">
        <f t="shared" si="15"/>
        <v>-1.7705852615678808E-2</v>
      </c>
      <c r="BN75" s="8">
        <f t="shared" si="15"/>
        <v>7.2546442124061805E-3</v>
      </c>
      <c r="BO75" s="8">
        <f t="shared" si="15"/>
        <v>1.4980362705145023E-2</v>
      </c>
      <c r="BP75" s="8">
        <f t="shared" ref="BP75:CU75" si="16">IFERROR(BP74/BO74-1,"NA")</f>
        <v>1.1250640619361318E-2</v>
      </c>
      <c r="BQ75" s="8">
        <f t="shared" si="16"/>
        <v>3.3256464618900416E-3</v>
      </c>
      <c r="BR75" s="8">
        <f t="shared" si="16"/>
        <v>-5.4008332885008281E-3</v>
      </c>
      <c r="BS75" s="8">
        <f t="shared" si="16"/>
        <v>7.3263595685921779E-3</v>
      </c>
      <c r="BT75" s="8">
        <f t="shared" si="16"/>
        <v>1.6884988171557147E-3</v>
      </c>
      <c r="BU75" s="8">
        <f t="shared" si="16"/>
        <v>6.4626610081155444E-3</v>
      </c>
      <c r="BV75" s="8">
        <f t="shared" si="16"/>
        <v>-1.6304428235363044E-3</v>
      </c>
      <c r="BW75" s="8">
        <f t="shared" si="16"/>
        <v>1.8435419717006685E-3</v>
      </c>
      <c r="BX75" s="8">
        <f t="shared" si="16"/>
        <v>-2.9199801192842934E-3</v>
      </c>
      <c r="BY75" s="8">
        <f t="shared" si="16"/>
        <v>4.7058265015771372E-3</v>
      </c>
      <c r="BZ75" s="8">
        <f t="shared" si="16"/>
        <v>-3.8155427255142094E-3</v>
      </c>
      <c r="CA75" s="8">
        <f t="shared" si="16"/>
        <v>-1.0518108756295885E-2</v>
      </c>
      <c r="CB75" s="8">
        <f t="shared" si="16"/>
        <v>-3.3513626544828146E-2</v>
      </c>
      <c r="CC75" s="8">
        <f t="shared" si="16"/>
        <v>-3.0279995672499505E-2</v>
      </c>
      <c r="CD75" s="8">
        <f t="shared" si="16"/>
        <v>-3.7785404903645237E-3</v>
      </c>
      <c r="CE75" s="8">
        <f t="shared" si="16"/>
        <v>-4.4163242638266431E-2</v>
      </c>
      <c r="CF75" s="8">
        <f t="shared" si="16"/>
        <v>-8.2383404227317492E-3</v>
      </c>
      <c r="CG75" s="8">
        <f t="shared" si="16"/>
        <v>4.6039228742320359E-2</v>
      </c>
      <c r="CH75" s="8">
        <f t="shared" si="16"/>
        <v>-2.8107896034326951E-2</v>
      </c>
      <c r="CI75" s="8">
        <f t="shared" si="16"/>
        <v>4.2202590777125959E-2</v>
      </c>
      <c r="CJ75" s="8">
        <f t="shared" si="16"/>
        <v>-3.3922077118805904E-2</v>
      </c>
      <c r="CK75" s="8">
        <f t="shared" si="16"/>
        <v>-1.7053851930321828E-2</v>
      </c>
      <c r="CL75" s="8">
        <f t="shared" si="16"/>
        <v>-7.5969697282486814E-2</v>
      </c>
      <c r="CM75" s="8">
        <f t="shared" si="16"/>
        <v>4.9396305955674791E-2</v>
      </c>
      <c r="CN75" s="8">
        <f t="shared" si="16"/>
        <v>-4.8868444911533415E-2</v>
      </c>
      <c r="CO75" s="8">
        <f t="shared" si="16"/>
        <v>-9.5112680886335954E-2</v>
      </c>
      <c r="CP75" s="8">
        <f t="shared" si="16"/>
        <v>9.2871249732820349E-2</v>
      </c>
      <c r="CQ75" s="8">
        <f t="shared" si="16"/>
        <v>-0.11984055248695646</v>
      </c>
      <c r="CR75" s="8">
        <f t="shared" si="16"/>
        <v>5.9954849490479356E-2</v>
      </c>
      <c r="CS75" s="8">
        <f t="shared" si="16"/>
        <v>-5.1830762440945644E-2</v>
      </c>
      <c r="CT75" s="8">
        <f t="shared" si="16"/>
        <v>4.7078080724887172E-3</v>
      </c>
      <c r="CU75" s="8">
        <f t="shared" si="16"/>
        <v>-4.3359512424085644E-2</v>
      </c>
      <c r="CV75" s="8">
        <f t="shared" ref="CV75:DB75" si="17">IFERROR(CV74/CU74-1,"NA")</f>
        <v>-2.9293868023585024E-2</v>
      </c>
      <c r="CW75" s="8">
        <f t="shared" si="17"/>
        <v>9.3827739874460692E-2</v>
      </c>
      <c r="CX75" s="8">
        <f t="shared" si="17"/>
        <v>1.1535011665884554E-2</v>
      </c>
      <c r="CY75" s="8">
        <f t="shared" si="17"/>
        <v>6.2414162984360866E-2</v>
      </c>
      <c r="CZ75" s="8">
        <f t="shared" si="17"/>
        <v>-3.3687352317337549E-2</v>
      </c>
      <c r="DA75" s="8">
        <f t="shared" si="17"/>
        <v>3.351600922771647E-2</v>
      </c>
      <c r="DB75" s="8">
        <f t="shared" si="17"/>
        <v>-1.6012755246892385E-2</v>
      </c>
      <c r="DC75" s="8"/>
      <c r="DD75" s="8"/>
      <c r="DE75" s="8"/>
      <c r="DF75" s="8"/>
      <c r="DG75" s="8"/>
      <c r="DH75" s="8"/>
      <c r="DI75" s="8"/>
      <c r="DJ75" s="8"/>
    </row>
    <row r="76" spans="1:114">
      <c r="A76" s="7"/>
      <c r="D76" s="25">
        <f>+D75+1</f>
        <v>1.0096623605788857</v>
      </c>
      <c r="E76" s="25">
        <f t="shared" ref="E76:BP76" si="18">+E75+1</f>
        <v>1.0037040539174609</v>
      </c>
      <c r="F76" s="25">
        <f t="shared" si="18"/>
        <v>0.99881426905372173</v>
      </c>
      <c r="G76" s="25">
        <f t="shared" si="18"/>
        <v>1.0007025258405917</v>
      </c>
      <c r="H76" s="25">
        <f t="shared" si="18"/>
        <v>1.002730126950903</v>
      </c>
      <c r="I76" s="25">
        <f t="shared" si="18"/>
        <v>1.0025606285532773</v>
      </c>
      <c r="J76" s="25">
        <f t="shared" si="18"/>
        <v>0.99803755479974665</v>
      </c>
      <c r="K76" s="25">
        <f t="shared" si="18"/>
        <v>1.0015646207819215</v>
      </c>
      <c r="L76" s="25">
        <f t="shared" si="18"/>
        <v>1.000711550403643</v>
      </c>
      <c r="M76" s="25">
        <f t="shared" si="18"/>
        <v>1.0008370932502488</v>
      </c>
      <c r="N76" s="25">
        <f t="shared" si="18"/>
        <v>1.0076954624866388</v>
      </c>
      <c r="O76" s="25">
        <f t="shared" si="18"/>
        <v>1.0005031309486423</v>
      </c>
      <c r="P76" s="25">
        <f t="shared" si="18"/>
        <v>0.99940743682796118</v>
      </c>
      <c r="Q76" s="25">
        <f t="shared" si="18"/>
        <v>0.99624380644706401</v>
      </c>
      <c r="R76" s="25">
        <f t="shared" si="18"/>
        <v>0.99841722267618049</v>
      </c>
      <c r="S76" s="25">
        <f t="shared" si="18"/>
        <v>1.0021749357185665</v>
      </c>
      <c r="T76" s="25">
        <f t="shared" si="18"/>
        <v>1.0075073385439943</v>
      </c>
      <c r="U76" s="25">
        <f t="shared" si="18"/>
        <v>1.0021955297992111</v>
      </c>
      <c r="V76" s="25">
        <f t="shared" si="18"/>
        <v>1.0041744679225098</v>
      </c>
      <c r="W76" s="25">
        <f t="shared" si="18"/>
        <v>0.99598874947282967</v>
      </c>
      <c r="X76" s="25">
        <f t="shared" si="18"/>
        <v>0.99136893580984276</v>
      </c>
      <c r="Y76" s="25">
        <f t="shared" si="18"/>
        <v>0.99336195794943272</v>
      </c>
      <c r="Z76" s="25">
        <f t="shared" si="18"/>
        <v>1.0063235484288118</v>
      </c>
      <c r="AA76" s="25">
        <f t="shared" si="18"/>
        <v>1.0015002762821417</v>
      </c>
      <c r="AB76" s="25">
        <f t="shared" si="18"/>
        <v>1.0091357303933048</v>
      </c>
      <c r="AC76" s="25">
        <f t="shared" si="18"/>
        <v>0.99683716317377169</v>
      </c>
      <c r="AD76" s="25">
        <f t="shared" si="18"/>
        <v>0.99890304723274526</v>
      </c>
      <c r="AE76" s="25">
        <f t="shared" si="18"/>
        <v>1.002908201703421</v>
      </c>
      <c r="AF76" s="25">
        <f t="shared" si="18"/>
        <v>1.0085751663945151</v>
      </c>
      <c r="AG76" s="25">
        <f t="shared" si="18"/>
        <v>1.0000725879497692</v>
      </c>
      <c r="AH76" s="25">
        <f t="shared" si="18"/>
        <v>1.0071478162080281</v>
      </c>
      <c r="AI76" s="25">
        <f t="shared" si="18"/>
        <v>1.0003352708016733</v>
      </c>
      <c r="AJ76" s="25">
        <f t="shared" si="18"/>
        <v>0.99956773959129464</v>
      </c>
      <c r="AK76" s="25">
        <f t="shared" si="18"/>
        <v>1.0044592214694434</v>
      </c>
      <c r="AL76" s="25">
        <f t="shared" si="18"/>
        <v>1.0049448269622538</v>
      </c>
      <c r="AM76" s="25">
        <f t="shared" si="18"/>
        <v>1.0008661314657181</v>
      </c>
      <c r="AN76" s="25">
        <f t="shared" si="18"/>
        <v>0.9998045911768263</v>
      </c>
      <c r="AO76" s="25">
        <f t="shared" si="18"/>
        <v>1.0051281573999962</v>
      </c>
      <c r="AP76" s="25">
        <f t="shared" si="18"/>
        <v>1.0000339515603829</v>
      </c>
      <c r="AQ76" s="25">
        <f t="shared" si="18"/>
        <v>0.99421917148659578</v>
      </c>
      <c r="AR76" s="25">
        <f t="shared" si="18"/>
        <v>1.0029460247292235</v>
      </c>
      <c r="AS76" s="25">
        <f t="shared" si="18"/>
        <v>1.0083787815945375</v>
      </c>
      <c r="AT76" s="25">
        <f t="shared" si="18"/>
        <v>0.99294012922633024</v>
      </c>
      <c r="AU76" s="25">
        <f t="shared" si="18"/>
        <v>1.0035333941295579</v>
      </c>
      <c r="AV76" s="25">
        <f t="shared" si="18"/>
        <v>0.99719679140431494</v>
      </c>
      <c r="AW76" s="25">
        <f t="shared" si="18"/>
        <v>1.0049024150649641</v>
      </c>
      <c r="AX76" s="25">
        <f t="shared" si="18"/>
        <v>1.0066552927252885</v>
      </c>
      <c r="AY76" s="25">
        <f t="shared" si="18"/>
        <v>0.99714477662075918</v>
      </c>
      <c r="AZ76" s="25">
        <f t="shared" si="18"/>
        <v>1.0069762812562206</v>
      </c>
      <c r="BA76" s="25">
        <f t="shared" si="18"/>
        <v>0.99848546134124871</v>
      </c>
      <c r="BB76" s="25">
        <f t="shared" si="18"/>
        <v>1.0018701551863303</v>
      </c>
      <c r="BC76" s="25">
        <f t="shared" si="18"/>
        <v>1.008366547187995</v>
      </c>
      <c r="BD76" s="25">
        <f t="shared" si="18"/>
        <v>1.0038621446510352</v>
      </c>
      <c r="BE76" s="25">
        <f t="shared" si="18"/>
        <v>0.99734804572293534</v>
      </c>
      <c r="BF76" s="25">
        <f t="shared" si="18"/>
        <v>1.0002890878375326</v>
      </c>
      <c r="BG76" s="25">
        <f t="shared" si="18"/>
        <v>1.0011409648528637</v>
      </c>
      <c r="BH76" s="25">
        <f t="shared" si="18"/>
        <v>0.99095785947545356</v>
      </c>
      <c r="BI76" s="25">
        <f t="shared" si="18"/>
        <v>0.98426931515079796</v>
      </c>
      <c r="BJ76" s="25">
        <f t="shared" si="18"/>
        <v>1.0100535511140296</v>
      </c>
      <c r="BK76" s="25">
        <f t="shared" si="18"/>
        <v>0.99913315263839042</v>
      </c>
      <c r="BL76" s="25">
        <f t="shared" si="18"/>
        <v>1.0031343557157695</v>
      </c>
      <c r="BM76" s="25">
        <f t="shared" si="18"/>
        <v>0.98229414738432119</v>
      </c>
      <c r="BN76" s="25">
        <f t="shared" si="18"/>
        <v>1.0072546442124062</v>
      </c>
      <c r="BO76" s="25">
        <f t="shared" si="18"/>
        <v>1.014980362705145</v>
      </c>
      <c r="BP76" s="25">
        <f t="shared" si="18"/>
        <v>1.0112506406193613</v>
      </c>
      <c r="BQ76" s="25">
        <f t="shared" ref="BQ76:DB76" si="19">+BQ75+1</f>
        <v>1.00332564646189</v>
      </c>
      <c r="BR76" s="25">
        <f t="shared" si="19"/>
        <v>0.99459916671149917</v>
      </c>
      <c r="BS76" s="25">
        <f t="shared" si="19"/>
        <v>1.0073263595685922</v>
      </c>
      <c r="BT76" s="25">
        <f t="shared" si="19"/>
        <v>1.0016884988171557</v>
      </c>
      <c r="BU76" s="25">
        <f t="shared" si="19"/>
        <v>1.0064626610081155</v>
      </c>
      <c r="BV76" s="25">
        <f t="shared" si="19"/>
        <v>0.9983695571764637</v>
      </c>
      <c r="BW76" s="25">
        <f t="shared" si="19"/>
        <v>1.0018435419717007</v>
      </c>
      <c r="BX76" s="25">
        <f t="shared" si="19"/>
        <v>0.99708001988071571</v>
      </c>
      <c r="BY76" s="25">
        <f t="shared" si="19"/>
        <v>1.0047058265015771</v>
      </c>
      <c r="BZ76" s="25">
        <f t="shared" si="19"/>
        <v>0.99618445727448579</v>
      </c>
      <c r="CA76" s="25">
        <f t="shared" si="19"/>
        <v>0.98948189124370411</v>
      </c>
      <c r="CB76" s="25">
        <f t="shared" si="19"/>
        <v>0.96648637345517185</v>
      </c>
      <c r="CC76" s="25">
        <f t="shared" si="19"/>
        <v>0.9697200043275005</v>
      </c>
      <c r="CD76" s="25">
        <f t="shared" si="19"/>
        <v>0.99622145950963548</v>
      </c>
      <c r="CE76" s="25">
        <f t="shared" si="19"/>
        <v>0.95583675736173357</v>
      </c>
      <c r="CF76" s="25">
        <f t="shared" si="19"/>
        <v>0.99176165957726825</v>
      </c>
      <c r="CG76" s="25">
        <f t="shared" si="19"/>
        <v>1.0460392287423204</v>
      </c>
      <c r="CH76" s="25">
        <f t="shared" si="19"/>
        <v>0.97189210396567305</v>
      </c>
      <c r="CI76" s="25">
        <f t="shared" si="19"/>
        <v>1.042202590777126</v>
      </c>
      <c r="CJ76" s="25">
        <f t="shared" si="19"/>
        <v>0.9660779228811941</v>
      </c>
      <c r="CK76" s="25">
        <f t="shared" si="19"/>
        <v>0.98294614806967817</v>
      </c>
      <c r="CL76" s="25">
        <f t="shared" si="19"/>
        <v>0.92403030271751319</v>
      </c>
      <c r="CM76" s="25">
        <f t="shared" si="19"/>
        <v>1.0493963059556748</v>
      </c>
      <c r="CN76" s="25">
        <f t="shared" si="19"/>
        <v>0.95113155508846658</v>
      </c>
      <c r="CO76" s="25">
        <f t="shared" si="19"/>
        <v>0.90488731911366405</v>
      </c>
      <c r="CP76" s="25">
        <f t="shared" si="19"/>
        <v>1.0928712497328203</v>
      </c>
      <c r="CQ76" s="25">
        <f t="shared" si="19"/>
        <v>0.88015944751304354</v>
      </c>
      <c r="CR76" s="25">
        <f t="shared" si="19"/>
        <v>1.0599548494904794</v>
      </c>
      <c r="CS76" s="25">
        <f t="shared" si="19"/>
        <v>0.94816923755905436</v>
      </c>
      <c r="CT76" s="25">
        <f t="shared" si="19"/>
        <v>1.0047078080724887</v>
      </c>
      <c r="CU76" s="25">
        <f t="shared" si="19"/>
        <v>0.95664048757591436</v>
      </c>
      <c r="CV76" s="25">
        <f t="shared" si="19"/>
        <v>0.97070613197641498</v>
      </c>
      <c r="CW76" s="25">
        <f t="shared" si="19"/>
        <v>1.0938277398744607</v>
      </c>
      <c r="CX76" s="25">
        <f t="shared" si="19"/>
        <v>1.0115350116658846</v>
      </c>
      <c r="CY76" s="25">
        <f t="shared" si="19"/>
        <v>1.0624141629843609</v>
      </c>
      <c r="CZ76" s="25">
        <f t="shared" si="19"/>
        <v>0.96631264768266245</v>
      </c>
      <c r="DA76" s="25">
        <f t="shared" si="19"/>
        <v>1.0335160092277165</v>
      </c>
      <c r="DB76" s="25">
        <f t="shared" si="19"/>
        <v>0.98398724475310761</v>
      </c>
      <c r="DC76" s="8"/>
      <c r="DD76" s="27">
        <f>(PRODUCT(D76:DB76)^(1/COUNT(D76:DB76)))-1</f>
        <v>-1.5666130691592839E-3</v>
      </c>
      <c r="DE76" s="26">
        <f>((1+DD76)^(365/(DB2-C2)))-1</f>
        <v>-3.7578042421984037E-3</v>
      </c>
      <c r="DF76" s="8">
        <f>STDEVA(D75:DB75)</f>
        <v>2.7955743439093253E-2</v>
      </c>
      <c r="DG76" s="8">
        <f>DF76*SQRT(365)</f>
        <v>0.53409372847827741</v>
      </c>
      <c r="DH76" s="27">
        <f>(DE76-$DB$87)/DG76</f>
        <v>-2.0104718834261934E-2</v>
      </c>
      <c r="DI76" s="8"/>
      <c r="DJ76" s="8"/>
    </row>
    <row r="77" spans="1:114">
      <c r="A77" s="7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</row>
    <row r="78" spans="1:114">
      <c r="A78" s="7"/>
      <c r="C78" s="1">
        <f>C2</f>
        <v>43769</v>
      </c>
      <c r="D78" s="1">
        <f t="shared" ref="D78:BJ78" si="20">D2</f>
        <v>43770</v>
      </c>
      <c r="E78" s="1">
        <f t="shared" si="20"/>
        <v>43773</v>
      </c>
      <c r="F78" s="1">
        <f t="shared" si="20"/>
        <v>43774</v>
      </c>
      <c r="G78" s="1">
        <f t="shared" si="20"/>
        <v>43775</v>
      </c>
      <c r="H78" s="1">
        <f t="shared" si="20"/>
        <v>43776</v>
      </c>
      <c r="I78" s="1">
        <f t="shared" si="20"/>
        <v>43777</v>
      </c>
      <c r="J78" s="1">
        <f t="shared" si="20"/>
        <v>43780</v>
      </c>
      <c r="K78" s="1">
        <f t="shared" si="20"/>
        <v>43781</v>
      </c>
      <c r="L78" s="1">
        <f t="shared" si="20"/>
        <v>43782</v>
      </c>
      <c r="M78" s="1">
        <f t="shared" si="20"/>
        <v>43783</v>
      </c>
      <c r="N78" s="1">
        <f t="shared" si="20"/>
        <v>43784</v>
      </c>
      <c r="O78" s="1">
        <f t="shared" si="20"/>
        <v>43787</v>
      </c>
      <c r="P78" s="1">
        <f t="shared" si="20"/>
        <v>43788</v>
      </c>
      <c r="Q78" s="1">
        <f t="shared" si="20"/>
        <v>43789</v>
      </c>
      <c r="R78" s="1">
        <f t="shared" si="20"/>
        <v>43790</v>
      </c>
      <c r="S78" s="1">
        <f t="shared" si="20"/>
        <v>43791</v>
      </c>
      <c r="T78" s="1">
        <f t="shared" si="20"/>
        <v>43794</v>
      </c>
      <c r="U78" s="1">
        <f t="shared" si="20"/>
        <v>43795</v>
      </c>
      <c r="V78" s="1">
        <f t="shared" si="20"/>
        <v>43796</v>
      </c>
      <c r="W78" s="1">
        <f t="shared" si="20"/>
        <v>43798</v>
      </c>
      <c r="X78" s="1">
        <f t="shared" si="20"/>
        <v>43801</v>
      </c>
      <c r="Y78" s="1">
        <f t="shared" si="20"/>
        <v>43802</v>
      </c>
      <c r="Z78" s="1">
        <f t="shared" si="20"/>
        <v>43803</v>
      </c>
      <c r="AA78" s="1">
        <f t="shared" si="20"/>
        <v>43804</v>
      </c>
      <c r="AB78" s="1">
        <f t="shared" si="20"/>
        <v>43805</v>
      </c>
      <c r="AC78" s="1">
        <f t="shared" si="20"/>
        <v>43808</v>
      </c>
      <c r="AD78" s="1">
        <f t="shared" si="20"/>
        <v>43809</v>
      </c>
      <c r="AE78" s="1">
        <f t="shared" si="20"/>
        <v>43810</v>
      </c>
      <c r="AF78" s="1">
        <f t="shared" si="20"/>
        <v>43811</v>
      </c>
      <c r="AG78" s="1">
        <f t="shared" si="20"/>
        <v>43812</v>
      </c>
      <c r="AH78" s="1">
        <f t="shared" si="20"/>
        <v>43815</v>
      </c>
      <c r="AI78" s="1">
        <f t="shared" si="20"/>
        <v>43816</v>
      </c>
      <c r="AJ78" s="1">
        <f t="shared" si="20"/>
        <v>43817</v>
      </c>
      <c r="AK78" s="1">
        <f t="shared" si="20"/>
        <v>43818</v>
      </c>
      <c r="AL78" s="1">
        <f t="shared" si="20"/>
        <v>43819</v>
      </c>
      <c r="AM78" s="1">
        <f t="shared" si="20"/>
        <v>43822</v>
      </c>
      <c r="AN78" s="1">
        <f t="shared" si="20"/>
        <v>43823</v>
      </c>
      <c r="AO78" s="1">
        <f t="shared" si="20"/>
        <v>43825</v>
      </c>
      <c r="AP78" s="1">
        <f t="shared" si="20"/>
        <v>43826</v>
      </c>
      <c r="AQ78" s="1">
        <f t="shared" si="20"/>
        <v>43829</v>
      </c>
      <c r="AR78" s="1">
        <f t="shared" si="20"/>
        <v>43830</v>
      </c>
      <c r="AS78" s="1">
        <f t="shared" si="20"/>
        <v>43832</v>
      </c>
      <c r="AT78" s="1">
        <f t="shared" si="20"/>
        <v>43833</v>
      </c>
      <c r="AU78" s="1">
        <f t="shared" si="20"/>
        <v>43836</v>
      </c>
      <c r="AV78" s="1">
        <f t="shared" si="20"/>
        <v>43837</v>
      </c>
      <c r="AW78" s="1">
        <f t="shared" si="20"/>
        <v>43838</v>
      </c>
      <c r="AX78" s="1">
        <f t="shared" si="20"/>
        <v>43839</v>
      </c>
      <c r="AY78" s="1">
        <f t="shared" si="20"/>
        <v>43840</v>
      </c>
      <c r="AZ78" s="1">
        <f t="shared" si="20"/>
        <v>43843</v>
      </c>
      <c r="BA78" s="1">
        <f t="shared" si="20"/>
        <v>43844</v>
      </c>
      <c r="BB78" s="1">
        <f t="shared" si="20"/>
        <v>43845</v>
      </c>
      <c r="BC78" s="1">
        <f t="shared" si="20"/>
        <v>43846</v>
      </c>
      <c r="BD78" s="1">
        <f t="shared" si="20"/>
        <v>43847</v>
      </c>
      <c r="BE78" s="1">
        <f t="shared" si="20"/>
        <v>43851</v>
      </c>
      <c r="BF78" s="1">
        <f t="shared" si="20"/>
        <v>43852</v>
      </c>
      <c r="BG78" s="1">
        <f t="shared" si="20"/>
        <v>43853</v>
      </c>
      <c r="BH78" s="1">
        <f t="shared" si="20"/>
        <v>43854</v>
      </c>
      <c r="BI78" s="1">
        <f t="shared" si="20"/>
        <v>43857</v>
      </c>
      <c r="BJ78" s="1">
        <f t="shared" si="20"/>
        <v>43858</v>
      </c>
      <c r="BK78" s="1">
        <f>BK2</f>
        <v>43859</v>
      </c>
      <c r="BL78" s="1">
        <f>BL2</f>
        <v>43860</v>
      </c>
      <c r="BM78" s="1">
        <f>BM2</f>
        <v>43861</v>
      </c>
      <c r="BN78" s="1">
        <f t="shared" ref="BN78:DB78" si="21">BN2</f>
        <v>43864</v>
      </c>
      <c r="BO78" s="1">
        <f t="shared" si="21"/>
        <v>43865</v>
      </c>
      <c r="BP78" s="1">
        <f t="shared" si="21"/>
        <v>43866</v>
      </c>
      <c r="BQ78" s="1">
        <f t="shared" si="21"/>
        <v>43867</v>
      </c>
      <c r="BR78" s="1">
        <f t="shared" si="21"/>
        <v>43868</v>
      </c>
      <c r="BS78" s="1">
        <f t="shared" si="21"/>
        <v>43871</v>
      </c>
      <c r="BT78" s="1">
        <f t="shared" si="21"/>
        <v>43872</v>
      </c>
      <c r="BU78" s="1">
        <f t="shared" si="21"/>
        <v>43873</v>
      </c>
      <c r="BV78" s="1">
        <f t="shared" si="21"/>
        <v>43874</v>
      </c>
      <c r="BW78" s="1">
        <f t="shared" si="21"/>
        <v>43875</v>
      </c>
      <c r="BX78" s="1">
        <f t="shared" si="21"/>
        <v>43879</v>
      </c>
      <c r="BY78" s="1">
        <f t="shared" si="21"/>
        <v>43880</v>
      </c>
      <c r="BZ78" s="1">
        <f t="shared" si="21"/>
        <v>43881</v>
      </c>
      <c r="CA78" s="1">
        <f t="shared" si="21"/>
        <v>43882</v>
      </c>
      <c r="CB78" s="1">
        <f t="shared" si="21"/>
        <v>43885</v>
      </c>
      <c r="CC78" s="1">
        <f t="shared" si="21"/>
        <v>43886</v>
      </c>
      <c r="CD78" s="1">
        <f t="shared" si="21"/>
        <v>43887</v>
      </c>
      <c r="CE78" s="1">
        <f t="shared" si="21"/>
        <v>43888</v>
      </c>
      <c r="CF78" s="1">
        <f t="shared" si="21"/>
        <v>43889</v>
      </c>
      <c r="CG78" s="1">
        <f t="shared" si="21"/>
        <v>43892</v>
      </c>
      <c r="CH78" s="1">
        <f t="shared" si="21"/>
        <v>43893</v>
      </c>
      <c r="CI78" s="1">
        <f t="shared" si="21"/>
        <v>43894</v>
      </c>
      <c r="CJ78" s="1">
        <f t="shared" si="21"/>
        <v>43895</v>
      </c>
      <c r="CK78" s="1">
        <f t="shared" si="21"/>
        <v>43896</v>
      </c>
      <c r="CL78" s="1">
        <f t="shared" si="21"/>
        <v>43899</v>
      </c>
      <c r="CM78" s="1">
        <f t="shared" si="21"/>
        <v>43900</v>
      </c>
      <c r="CN78" s="1">
        <f t="shared" si="21"/>
        <v>43901</v>
      </c>
      <c r="CO78" s="1">
        <f t="shared" si="21"/>
        <v>43902</v>
      </c>
      <c r="CP78" s="1">
        <f t="shared" si="21"/>
        <v>43903</v>
      </c>
      <c r="CQ78" s="1">
        <f t="shared" si="21"/>
        <v>43906</v>
      </c>
      <c r="CR78" s="1">
        <f t="shared" si="21"/>
        <v>43907</v>
      </c>
      <c r="CS78" s="1">
        <f t="shared" si="21"/>
        <v>43908</v>
      </c>
      <c r="CT78" s="1">
        <f t="shared" si="21"/>
        <v>43909</v>
      </c>
      <c r="CU78" s="1">
        <f t="shared" si="21"/>
        <v>43910</v>
      </c>
      <c r="CV78" s="1">
        <f t="shared" si="21"/>
        <v>43913</v>
      </c>
      <c r="CW78" s="1">
        <f t="shared" si="21"/>
        <v>43914</v>
      </c>
      <c r="CX78" s="1">
        <f t="shared" si="21"/>
        <v>43915</v>
      </c>
      <c r="CY78" s="1">
        <f t="shared" si="21"/>
        <v>43916</v>
      </c>
      <c r="CZ78" s="1">
        <f t="shared" si="21"/>
        <v>43917</v>
      </c>
      <c r="DA78" s="1">
        <f t="shared" si="21"/>
        <v>43920</v>
      </c>
      <c r="DB78" s="1">
        <f t="shared" si="21"/>
        <v>43921</v>
      </c>
      <c r="DC78" s="1"/>
      <c r="DD78" s="1"/>
      <c r="DE78" s="1"/>
      <c r="DF78" s="1"/>
      <c r="DG78" s="1"/>
      <c r="DH78" s="1"/>
      <c r="DI78" s="1"/>
      <c r="DJ78" s="1"/>
    </row>
    <row r="79" spans="1:114">
      <c r="B79" t="s">
        <v>67</v>
      </c>
      <c r="C79" s="10">
        <v>1000000</v>
      </c>
      <c r="D79" s="10">
        <f>C79*(1+D75)</f>
        <v>1009662.3605788857</v>
      </c>
      <c r="E79" s="10">
        <f t="shared" ref="E79:BJ79" si="22">D79*(1+E75)</f>
        <v>1013402.2044009006</v>
      </c>
      <c r="F79" s="10">
        <f t="shared" si="22"/>
        <v>1012200.5820461159</v>
      </c>
      <c r="G79" s="10">
        <f t="shared" si="22"/>
        <v>1012911.6791108652</v>
      </c>
      <c r="H79" s="10">
        <f t="shared" si="22"/>
        <v>1015677.0565848902</v>
      </c>
      <c r="I79" s="10">
        <f t="shared" si="22"/>
        <v>1018277.8282568902</v>
      </c>
      <c r="J79" s="10">
        <f t="shared" si="22"/>
        <v>1016279.513820303</v>
      </c>
      <c r="K79" s="10">
        <f t="shared" si="22"/>
        <v>1017869.6058678674</v>
      </c>
      <c r="L79" s="10">
        <f t="shared" si="22"/>
        <v>1018593.8713967786</v>
      </c>
      <c r="M79" s="10">
        <f t="shared" si="22"/>
        <v>1019446.5294512697</v>
      </c>
      <c r="N79" s="10">
        <f t="shared" si="22"/>
        <v>1027291.641975796</v>
      </c>
      <c r="O79" s="10">
        <f t="shared" si="22"/>
        <v>1027808.5041941556</v>
      </c>
      <c r="P79" s="10">
        <f t="shared" si="22"/>
        <v>1027199.4627266618</v>
      </c>
      <c r="Q79" s="10">
        <f t="shared" si="22"/>
        <v>1023341.1027271886</v>
      </c>
      <c r="R79" s="10">
        <f t="shared" si="22"/>
        <v>1021721.3816352596</v>
      </c>
      <c r="S79" s="10">
        <f t="shared" si="22"/>
        <v>1023943.5599626013</v>
      </c>
      <c r="T79" s="10">
        <f t="shared" si="22"/>
        <v>1031630.6509171833</v>
      </c>
      <c r="U79" s="10">
        <f t="shared" si="22"/>
        <v>1033895.6267530515</v>
      </c>
      <c r="V79" s="10">
        <f t="shared" si="22"/>
        <v>1038211.5908821552</v>
      </c>
      <c r="W79" s="10">
        <f t="shared" si="22"/>
        <v>1034047.0640909148</v>
      </c>
      <c r="X79" s="10">
        <f t="shared" si="22"/>
        <v>1025122.1375051024</v>
      </c>
      <c r="Y79" s="10">
        <f t="shared" si="22"/>
        <v>1018317.3336493762</v>
      </c>
      <c r="Z79" s="10">
        <f t="shared" si="22"/>
        <v>1024756.7126246064</v>
      </c>
      <c r="AA79" s="10">
        <f t="shared" si="22"/>
        <v>1026294.1308155226</v>
      </c>
      <c r="AB79" s="10">
        <f t="shared" si="22"/>
        <v>1035670.0772988844</v>
      </c>
      <c r="AC79" s="10">
        <f t="shared" si="22"/>
        <v>1032394.4218385807</v>
      </c>
      <c r="AD79" s="10">
        <f t="shared" si="22"/>
        <v>1031261.9339206466</v>
      </c>
      <c r="AE79" s="10">
        <f t="shared" si="22"/>
        <v>1034261.0516335478</v>
      </c>
      <c r="AF79" s="10">
        <f t="shared" si="22"/>
        <v>1043130.0122466716</v>
      </c>
      <c r="AG79" s="10">
        <f t="shared" si="22"/>
        <v>1043205.7309156032</v>
      </c>
      <c r="AH79" s="10">
        <f t="shared" si="22"/>
        <v>1050662.3737473495</v>
      </c>
      <c r="AI79" s="10">
        <f t="shared" si="22"/>
        <v>1051014.6301636838</v>
      </c>
      <c r="AJ79" s="10">
        <f t="shared" si="22"/>
        <v>1050560.318150094</v>
      </c>
      <c r="AK79" s="10">
        <f t="shared" si="22"/>
        <v>1055244.9992757342</v>
      </c>
      <c r="AL79" s="10">
        <f t="shared" si="22"/>
        <v>1060463.0031999364</v>
      </c>
      <c r="AM79" s="10">
        <f t="shared" si="22"/>
        <v>1061381.5035752377</v>
      </c>
      <c r="AN79" s="10">
        <f t="shared" si="22"/>
        <v>1061174.1002646857</v>
      </c>
      <c r="AO79" s="10">
        <f t="shared" si="22"/>
        <v>1066615.9680796424</v>
      </c>
      <c r="AP79" s="10">
        <f t="shared" si="22"/>
        <v>1066652.181356088</v>
      </c>
      <c r="AQ79" s="10">
        <f t="shared" si="22"/>
        <v>1060486.0480122198</v>
      </c>
      <c r="AR79" s="10">
        <f t="shared" si="22"/>
        <v>1063610.2661346602</v>
      </c>
      <c r="AS79" s="10">
        <f t="shared" si="22"/>
        <v>1072522.0242563104</v>
      </c>
      <c r="AT79" s="10">
        <f t="shared" si="22"/>
        <v>1064950.1573631461</v>
      </c>
      <c r="AU79" s="10">
        <f t="shared" si="22"/>
        <v>1068713.0459974448</v>
      </c>
      <c r="AV79" s="10">
        <f t="shared" si="22"/>
        <v>1065717.2204005839</v>
      </c>
      <c r="AW79" s="10">
        <f t="shared" si="22"/>
        <v>1070941.8085568675</v>
      </c>
      <c r="AX79" s="10">
        <f t="shared" si="22"/>
        <v>1078069.2397845634</v>
      </c>
      <c r="AY79" s="10">
        <f t="shared" si="22"/>
        <v>1074991.1112866902</v>
      </c>
      <c r="AZ79" s="10">
        <f t="shared" si="22"/>
        <v>1082490.5516269633</v>
      </c>
      <c r="BA79" s="10">
        <f t="shared" si="22"/>
        <v>1080851.0778387913</v>
      </c>
      <c r="BB79" s="10">
        <f t="shared" si="22"/>
        <v>1082872.4370876623</v>
      </c>
      <c r="BC79" s="10">
        <f t="shared" si="22"/>
        <v>1091932.3404311354</v>
      </c>
      <c r="BD79" s="10">
        <f t="shared" si="22"/>
        <v>1096149.5410790239</v>
      </c>
      <c r="BE79" s="10">
        <f t="shared" si="22"/>
        <v>1093242.6026152568</v>
      </c>
      <c r="BF79" s="10">
        <f t="shared" si="22"/>
        <v>1093558.6457551452</v>
      </c>
      <c r="BG79" s="10">
        <f t="shared" si="22"/>
        <v>1094806.3577344972</v>
      </c>
      <c r="BH79" s="10">
        <f t="shared" si="22"/>
        <v>1084906.964800695</v>
      </c>
      <c r="BI79" s="10">
        <f t="shared" si="22"/>
        <v>1067840.6352467109</v>
      </c>
      <c r="BJ79" s="10">
        <f t="shared" si="22"/>
        <v>1078576.2256548016</v>
      </c>
      <c r="BK79" s="10">
        <f t="shared" ref="BK79:DB79" si="23">BJ79*(1+BK75)</f>
        <v>1077641.264699298</v>
      </c>
      <c r="BL79" s="10">
        <f t="shared" si="23"/>
        <v>1081018.9757568573</v>
      </c>
      <c r="BM79" s="10">
        <f t="shared" si="23"/>
        <v>1061878.6130973543</v>
      </c>
      <c r="BN79" s="10">
        <f t="shared" si="23"/>
        <v>1069582.164632139</v>
      </c>
      <c r="BO79" s="10">
        <f t="shared" si="23"/>
        <v>1085604.8934012826</v>
      </c>
      <c r="BP79" s="10">
        <f t="shared" si="23"/>
        <v>1097818.6439115605</v>
      </c>
      <c r="BQ79" s="10">
        <f t="shared" si="23"/>
        <v>1101469.600600482</v>
      </c>
      <c r="BR79" s="10">
        <f t="shared" si="23"/>
        <v>1095520.7469152871</v>
      </c>
      <c r="BS79" s="10">
        <f t="shared" si="23"/>
        <v>1103546.9258220412</v>
      </c>
      <c r="BT79" s="10">
        <f t="shared" si="23"/>
        <v>1105410.2635009675</v>
      </c>
      <c r="BU79" s="10">
        <f t="shared" si="23"/>
        <v>1112554.1553088659</v>
      </c>
      <c r="BV79" s="10">
        <f t="shared" si="23"/>
        <v>1110740.1993705472</v>
      </c>
      <c r="BW79" s="10">
        <f t="shared" si="23"/>
        <v>1112787.895547742</v>
      </c>
      <c r="BX79" s="10">
        <f t="shared" si="23"/>
        <v>1109538.5770157625</v>
      </c>
      <c r="BY79" s="10">
        <f t="shared" si="23"/>
        <v>1114759.8730560055</v>
      </c>
      <c r="BZ79" s="10">
        <f t="shared" si="23"/>
        <v>1110506.4591316716</v>
      </c>
      <c r="CA79" s="10">
        <f t="shared" si="23"/>
        <v>1098826.0314199557</v>
      </c>
      <c r="CB79" s="10">
        <f t="shared" si="23"/>
        <v>1062000.3861652117</v>
      </c>
      <c r="CC79" s="10">
        <f t="shared" si="23"/>
        <v>1029843.0190679362</v>
      </c>
      <c r="CD79" s="10">
        <f t="shared" si="23"/>
        <v>1025951.7155216688</v>
      </c>
      <c r="CE79" s="10">
        <f t="shared" si="23"/>
        <v>980642.36097393965</v>
      </c>
      <c r="CF79" s="10">
        <f t="shared" si="23"/>
        <v>972563.49537128489</v>
      </c>
      <c r="CG79" s="10">
        <f t="shared" si="23"/>
        <v>1017339.5686011141</v>
      </c>
      <c r="CH79" s="10">
        <f t="shared" si="23"/>
        <v>988744.29377526697</v>
      </c>
      <c r="CI79" s="10">
        <f t="shared" si="23"/>
        <v>1030471.864588683</v>
      </c>
      <c r="CJ79" s="10">
        <f t="shared" si="23"/>
        <v>995516.11852934596</v>
      </c>
      <c r="CK79" s="10">
        <f t="shared" si="23"/>
        <v>978538.73404969776</v>
      </c>
      <c r="CL79" s="10">
        <f t="shared" si="23"/>
        <v>904199.44264475431</v>
      </c>
      <c r="CM79" s="10">
        <f t="shared" si="23"/>
        <v>948863.55495858518</v>
      </c>
      <c r="CN79" s="10">
        <f t="shared" si="23"/>
        <v>902494.06859452976</v>
      </c>
      <c r="CO79" s="10">
        <f t="shared" si="23"/>
        <v>816655.43824648729</v>
      </c>
      <c r="CP79" s="10">
        <f t="shared" si="23"/>
        <v>892499.24939754268</v>
      </c>
      <c r="CQ79" s="10">
        <f t="shared" si="23"/>
        <v>785541.64625554718</v>
      </c>
      <c r="CR79" s="10">
        <f t="shared" si="23"/>
        <v>832638.67742530187</v>
      </c>
      <c r="CS79" s="10">
        <f t="shared" si="23"/>
        <v>789482.37993652793</v>
      </c>
      <c r="CT79" s="10">
        <f t="shared" si="23"/>
        <v>793199.1114578807</v>
      </c>
      <c r="CU79" s="10">
        <f t="shared" si="23"/>
        <v>758806.38472984906</v>
      </c>
      <c r="CV79" s="10">
        <f t="shared" si="23"/>
        <v>736578.0106401192</v>
      </c>
      <c r="CW79" s="10">
        <f t="shared" si="23"/>
        <v>805689.46061970806</v>
      </c>
      <c r="CX79" s="10">
        <f t="shared" si="23"/>
        <v>814983.09794703661</v>
      </c>
      <c r="CY79" s="10">
        <f t="shared" si="23"/>
        <v>865849.58585180226</v>
      </c>
      <c r="CZ79" s="10">
        <f t="shared" si="23"/>
        <v>836681.4057993918</v>
      </c>
      <c r="DA79" s="10">
        <f t="shared" si="23"/>
        <v>864723.62751682301</v>
      </c>
      <c r="DB79" s="10">
        <f t="shared" si="23"/>
        <v>850877.0197131912</v>
      </c>
      <c r="DC79" s="10"/>
      <c r="DD79" s="10">
        <f>MIN(C79:DB79)</f>
        <v>736578.0106401192</v>
      </c>
      <c r="DE79" s="10"/>
      <c r="DF79" s="10"/>
      <c r="DG79" s="10"/>
      <c r="DH79" s="10"/>
      <c r="DI79" s="10"/>
      <c r="DJ79" s="10"/>
    </row>
    <row r="80" spans="1:114">
      <c r="B80" t="s">
        <v>69</v>
      </c>
      <c r="C80" s="10">
        <v>1000000</v>
      </c>
      <c r="D80" s="10">
        <f>C80*(1+D71)</f>
        <v>1004679.0799999998</v>
      </c>
      <c r="E80" s="10">
        <f t="shared" ref="E80:BJ80" si="24">D80*(1+E71)</f>
        <v>1003258.1699999998</v>
      </c>
      <c r="F80" s="10">
        <f t="shared" si="24"/>
        <v>999657</v>
      </c>
      <c r="G80" s="10">
        <f t="shared" si="24"/>
        <v>1002979.2999999998</v>
      </c>
      <c r="H80" s="10">
        <f t="shared" si="24"/>
        <v>1004049.4599999997</v>
      </c>
      <c r="I80" s="10">
        <f t="shared" si="24"/>
        <v>1004449.7399999999</v>
      </c>
      <c r="J80" s="10">
        <f t="shared" si="24"/>
        <v>999941.18500000006</v>
      </c>
      <c r="K80" s="10">
        <f t="shared" si="24"/>
        <v>1001480.8699999998</v>
      </c>
      <c r="L80" s="10">
        <f t="shared" si="24"/>
        <v>1004795.3699999999</v>
      </c>
      <c r="M80" s="10">
        <f t="shared" si="24"/>
        <v>1006428.6599999997</v>
      </c>
      <c r="N80" s="10">
        <f t="shared" si="24"/>
        <v>1012562.3700000001</v>
      </c>
      <c r="O80" s="10">
        <f t="shared" si="24"/>
        <v>1013401.87</v>
      </c>
      <c r="P80" s="10">
        <f t="shared" si="24"/>
        <v>1013462.4399999992</v>
      </c>
      <c r="Q80" s="10">
        <f t="shared" si="24"/>
        <v>1012827.5949999997</v>
      </c>
      <c r="R80" s="10">
        <f t="shared" si="24"/>
        <v>1011012.7199999995</v>
      </c>
      <c r="S80" s="10">
        <f t="shared" si="24"/>
        <v>1009506.11</v>
      </c>
      <c r="T80" s="10">
        <f t="shared" si="24"/>
        <v>1017189.3049999996</v>
      </c>
      <c r="U80" s="10">
        <f t="shared" si="24"/>
        <v>1023119.5</v>
      </c>
      <c r="V80" s="10">
        <f t="shared" si="24"/>
        <v>1026740.1299999995</v>
      </c>
      <c r="W80" s="10">
        <f t="shared" si="24"/>
        <v>1022871.3599999998</v>
      </c>
      <c r="X80" s="10">
        <f t="shared" si="24"/>
        <v>1015222.17</v>
      </c>
      <c r="Y80" s="10">
        <f t="shared" si="24"/>
        <v>1011956.8299999996</v>
      </c>
      <c r="Z80" s="10">
        <f t="shared" si="24"/>
        <v>1017961.1200000001</v>
      </c>
      <c r="AA80" s="10">
        <f t="shared" si="24"/>
        <v>1020125.1799999999</v>
      </c>
      <c r="AB80" s="10">
        <f t="shared" si="24"/>
        <v>1027320.6049999997</v>
      </c>
      <c r="AC80" s="10">
        <f t="shared" si="24"/>
        <v>1024124.0599999999</v>
      </c>
      <c r="AD80" s="10">
        <f t="shared" si="24"/>
        <v>1024075.0999999996</v>
      </c>
      <c r="AE80" s="10">
        <f t="shared" si="24"/>
        <v>1025503.8899999998</v>
      </c>
      <c r="AF80" s="10">
        <f t="shared" si="24"/>
        <v>1030155.7</v>
      </c>
      <c r="AG80" s="10">
        <f t="shared" si="24"/>
        <v>1033888.8799999995</v>
      </c>
      <c r="AH80" s="10">
        <f t="shared" si="24"/>
        <v>1041644.0599999996</v>
      </c>
      <c r="AI80" s="10">
        <f t="shared" si="24"/>
        <v>1042102.6799999998</v>
      </c>
      <c r="AJ80" s="10">
        <f t="shared" si="24"/>
        <v>1043346.6499999994</v>
      </c>
      <c r="AK80" s="10">
        <f t="shared" si="24"/>
        <v>1048172.7999999995</v>
      </c>
      <c r="AL80" s="10">
        <f t="shared" si="24"/>
        <v>1052609.9899999998</v>
      </c>
      <c r="AM80" s="10">
        <f t="shared" si="24"/>
        <v>1051918.1749999993</v>
      </c>
      <c r="AN80" s="10">
        <f t="shared" si="24"/>
        <v>1052981.2299999993</v>
      </c>
      <c r="AO80" s="10">
        <f t="shared" si="24"/>
        <v>1059098.7749999997</v>
      </c>
      <c r="AP80" s="10">
        <f t="shared" si="24"/>
        <v>1060800.6149999995</v>
      </c>
      <c r="AQ80" s="10">
        <f t="shared" si="24"/>
        <v>1054994.9999999998</v>
      </c>
      <c r="AR80" s="10">
        <f t="shared" si="24"/>
        <v>1058042.2899999991</v>
      </c>
      <c r="AS80" s="10">
        <f t="shared" si="24"/>
        <v>1064280.1599999997</v>
      </c>
      <c r="AT80" s="10">
        <f t="shared" si="24"/>
        <v>1059948.6399999997</v>
      </c>
      <c r="AU80" s="10">
        <f t="shared" si="24"/>
        <v>1065094.2999999996</v>
      </c>
      <c r="AV80" s="10">
        <f t="shared" si="24"/>
        <v>1061239.6549999993</v>
      </c>
      <c r="AW80" s="10">
        <f t="shared" si="24"/>
        <v>1065160.2199999995</v>
      </c>
      <c r="AX80" s="10">
        <f t="shared" si="24"/>
        <v>1072497.3099999991</v>
      </c>
      <c r="AY80" s="10">
        <f t="shared" si="24"/>
        <v>1070502.149999999</v>
      </c>
      <c r="AZ80" s="10">
        <f t="shared" si="24"/>
        <v>1078256.3999999994</v>
      </c>
      <c r="BA80" s="10">
        <f t="shared" si="24"/>
        <v>1078329.8199999991</v>
      </c>
      <c r="BB80" s="10">
        <f t="shared" si="24"/>
        <v>1085347.4399999992</v>
      </c>
      <c r="BC80" s="10">
        <f t="shared" si="24"/>
        <v>1094686.3999999994</v>
      </c>
      <c r="BD80" s="10">
        <f t="shared" si="24"/>
        <v>1097812.0399999991</v>
      </c>
      <c r="BE80" s="10">
        <f t="shared" si="24"/>
        <v>1101513.9299999988</v>
      </c>
      <c r="BF80" s="10">
        <f t="shared" si="24"/>
        <v>1102113.5599999987</v>
      </c>
      <c r="BG80" s="10">
        <f t="shared" si="24"/>
        <v>1101878.659999999</v>
      </c>
      <c r="BH80" s="10">
        <f t="shared" si="24"/>
        <v>1093386.2699999993</v>
      </c>
      <c r="BI80" s="10">
        <f t="shared" si="24"/>
        <v>1081578.3699999989</v>
      </c>
      <c r="BJ80" s="10">
        <f t="shared" si="24"/>
        <v>1088876.2199999993</v>
      </c>
      <c r="BK80" s="10">
        <f t="shared" ref="BK80:DB80" si="25">BJ80*(1+BK71)</f>
        <v>1087232.2599999988</v>
      </c>
      <c r="BL80" s="10">
        <f t="shared" si="25"/>
        <v>1089841.9499999993</v>
      </c>
      <c r="BM80" s="10">
        <f t="shared" si="25"/>
        <v>1072063.179999999</v>
      </c>
      <c r="BN80" s="10">
        <f t="shared" si="25"/>
        <v>1077678.1299999992</v>
      </c>
      <c r="BO80" s="10">
        <f t="shared" si="25"/>
        <v>1090585.7199999988</v>
      </c>
      <c r="BP80" s="10">
        <f t="shared" si="25"/>
        <v>1098478.2499999993</v>
      </c>
      <c r="BQ80" s="10">
        <f t="shared" si="25"/>
        <v>1101983.4199999992</v>
      </c>
      <c r="BR80" s="10">
        <f t="shared" si="25"/>
        <v>1098678.1099999989</v>
      </c>
      <c r="BS80" s="10">
        <f t="shared" si="25"/>
        <v>1105620.5099999993</v>
      </c>
      <c r="BT80" s="10">
        <f t="shared" si="25"/>
        <v>1107747.4399999988</v>
      </c>
      <c r="BU80" s="10">
        <f t="shared" si="25"/>
        <v>1113179.0799999994</v>
      </c>
      <c r="BV80" s="10">
        <f t="shared" si="25"/>
        <v>1113985.2209999994</v>
      </c>
      <c r="BW80" s="10">
        <f t="shared" si="25"/>
        <v>1118714.7399999991</v>
      </c>
      <c r="BX80" s="10">
        <f t="shared" si="25"/>
        <v>1120338.8499999992</v>
      </c>
      <c r="BY80" s="10">
        <f t="shared" si="25"/>
        <v>1123688.2699999986</v>
      </c>
      <c r="BZ80" s="10">
        <f t="shared" si="25"/>
        <v>1119751.4399999988</v>
      </c>
      <c r="CA80" s="10">
        <f t="shared" si="25"/>
        <v>1107621.2097079989</v>
      </c>
      <c r="CB80" s="10">
        <f t="shared" si="25"/>
        <v>1075728.0073849987</v>
      </c>
      <c r="CC80" s="10">
        <f t="shared" si="25"/>
        <v>1044372.1009759987</v>
      </c>
      <c r="CD80" s="10">
        <f t="shared" si="25"/>
        <v>1039409.1125919989</v>
      </c>
      <c r="CE80" s="10">
        <f t="shared" si="25"/>
        <v>992937.2523189988</v>
      </c>
      <c r="CF80" s="10">
        <f t="shared" si="25"/>
        <v>977968.97826299886</v>
      </c>
      <c r="CG80" s="10">
        <f t="shared" si="25"/>
        <v>1024297.384527999</v>
      </c>
      <c r="CH80" s="10">
        <f t="shared" si="25"/>
        <v>1002325.3537529989</v>
      </c>
      <c r="CI80" s="10">
        <f t="shared" si="25"/>
        <v>1044470.0561079986</v>
      </c>
      <c r="CJ80" s="10">
        <f t="shared" si="25"/>
        <v>1015248.8312629987</v>
      </c>
      <c r="CK80" s="10">
        <f t="shared" si="25"/>
        <v>1001626.8994319991</v>
      </c>
      <c r="CL80" s="10">
        <f t="shared" si="25"/>
        <v>928663.57210599922</v>
      </c>
      <c r="CM80" s="10">
        <f t="shared" si="25"/>
        <v>967709.89184299915</v>
      </c>
      <c r="CN80" s="10">
        <f t="shared" si="25"/>
        <v>921131.18070399924</v>
      </c>
      <c r="CO80" s="10">
        <f t="shared" si="25"/>
        <v>831155.04090599902</v>
      </c>
      <c r="CP80" s="10">
        <f t="shared" si="25"/>
        <v>893042.12052799866</v>
      </c>
      <c r="CQ80" s="10">
        <f t="shared" si="25"/>
        <v>793945.20802199922</v>
      </c>
      <c r="CR80" s="10">
        <f t="shared" si="25"/>
        <v>844893.59910799912</v>
      </c>
      <c r="CS80" s="10">
        <f t="shared" si="25"/>
        <v>796963.05990899936</v>
      </c>
      <c r="CT80" s="10">
        <f t="shared" si="25"/>
        <v>804242.65714799939</v>
      </c>
      <c r="CU80" s="10">
        <f t="shared" si="25"/>
        <v>771909.36911899934</v>
      </c>
      <c r="CV80" s="10">
        <f t="shared" si="25"/>
        <v>743598.04197099933</v>
      </c>
      <c r="CW80" s="10">
        <f t="shared" si="25"/>
        <v>815746.44935899903</v>
      </c>
      <c r="CX80" s="10">
        <f t="shared" si="25"/>
        <v>831357.93170999922</v>
      </c>
      <c r="CY80" s="10">
        <f t="shared" si="25"/>
        <v>882461.37029699888</v>
      </c>
      <c r="CZ80" s="10">
        <f t="shared" si="25"/>
        <v>857304.16653899907</v>
      </c>
      <c r="DA80" s="10">
        <f t="shared" si="25"/>
        <v>887104.95286399929</v>
      </c>
      <c r="DB80" s="10" t="e">
        <f t="shared" si="25"/>
        <v>#VALUE!</v>
      </c>
      <c r="DC80" s="10"/>
      <c r="DD80" s="10" t="e">
        <f>MIN(C80:DB80)</f>
        <v>#VALUE!</v>
      </c>
      <c r="DE80" s="10"/>
      <c r="DF80" s="10"/>
      <c r="DG80" s="10"/>
      <c r="DH80" s="10"/>
      <c r="DI80" s="10"/>
      <c r="DJ80" s="10"/>
    </row>
    <row r="81" spans="2:108">
      <c r="K81" s="10">
        <f>MAX(C79:BM79)</f>
        <v>1096149.5410790239</v>
      </c>
    </row>
    <row r="82" spans="2:108">
      <c r="K82" s="10">
        <f>MAX(C80:BM80)</f>
        <v>1102113.5599999987</v>
      </c>
    </row>
    <row r="83" spans="2:108">
      <c r="B83" t="s">
        <v>134</v>
      </c>
      <c r="C83">
        <v>1.498</v>
      </c>
      <c r="D83">
        <v>1.4850000000000001</v>
      </c>
      <c r="E83">
        <v>1.5029999999999999</v>
      </c>
      <c r="F83">
        <v>1.518</v>
      </c>
      <c r="G83">
        <v>1.5149999999999999</v>
      </c>
      <c r="H83">
        <v>1.518</v>
      </c>
      <c r="I83">
        <v>1.51</v>
      </c>
      <c r="J83">
        <v>1.5129999999999999</v>
      </c>
      <c r="K83">
        <v>1.5329999999999999</v>
      </c>
      <c r="L83">
        <v>1.5349999999999999</v>
      </c>
      <c r="M83">
        <v>1.528</v>
      </c>
      <c r="N83">
        <v>1.528</v>
      </c>
      <c r="O83">
        <v>1.5229999999999999</v>
      </c>
      <c r="P83">
        <v>1.5249999999999999</v>
      </c>
      <c r="Q83">
        <v>1.52</v>
      </c>
      <c r="R83">
        <v>1.53</v>
      </c>
      <c r="S83">
        <v>1.5429999999999999</v>
      </c>
      <c r="T83">
        <v>1.5449999999999999</v>
      </c>
      <c r="U83">
        <v>1.5649999999999999</v>
      </c>
      <c r="V83">
        <v>1.5649999999999999</v>
      </c>
      <c r="W83" t="s">
        <v>135</v>
      </c>
      <c r="X83">
        <v>1.538</v>
      </c>
      <c r="Y83">
        <v>1.538</v>
      </c>
      <c r="Z83">
        <v>1.498</v>
      </c>
      <c r="AA83">
        <v>1.4930000000000001</v>
      </c>
      <c r="AB83">
        <v>1.48</v>
      </c>
      <c r="AC83">
        <v>1.498</v>
      </c>
      <c r="AD83">
        <v>1.5149999999999999</v>
      </c>
      <c r="AE83">
        <v>1.52</v>
      </c>
      <c r="AF83">
        <v>1.53</v>
      </c>
      <c r="AG83">
        <v>1.5229999999999999</v>
      </c>
      <c r="AH83">
        <v>1.5249999999999999</v>
      </c>
      <c r="AI83">
        <v>1.53</v>
      </c>
      <c r="AJ83">
        <v>1.518</v>
      </c>
      <c r="AK83">
        <v>1.5329999999999999</v>
      </c>
      <c r="AL83">
        <v>1.528</v>
      </c>
      <c r="AM83">
        <v>1.52</v>
      </c>
      <c r="AN83" t="s">
        <v>135</v>
      </c>
      <c r="AO83">
        <v>1.5349999999999999</v>
      </c>
      <c r="AP83">
        <v>1.518</v>
      </c>
      <c r="AQ83">
        <v>1.49</v>
      </c>
      <c r="AR83">
        <v>1.5049999999999999</v>
      </c>
      <c r="AS83">
        <v>1.4950000000000001</v>
      </c>
      <c r="AT83">
        <v>1.4730000000000001</v>
      </c>
      <c r="AU83">
        <v>1.488</v>
      </c>
      <c r="AV83">
        <v>1.5</v>
      </c>
      <c r="AW83">
        <v>1.4930000000000001</v>
      </c>
      <c r="AX83">
        <v>1.5</v>
      </c>
      <c r="AY83">
        <v>1.498</v>
      </c>
      <c r="AZ83">
        <v>1.51</v>
      </c>
      <c r="BA83">
        <v>1.53</v>
      </c>
      <c r="BB83">
        <v>1.508</v>
      </c>
      <c r="BC83">
        <v>1.518</v>
      </c>
      <c r="BD83">
        <v>1.5229999999999999</v>
      </c>
      <c r="BE83">
        <v>1.5029999999999999</v>
      </c>
      <c r="BF83">
        <v>1.5129999999999999</v>
      </c>
      <c r="BG83">
        <v>1.5149999999999999</v>
      </c>
      <c r="BH83">
        <v>1.49</v>
      </c>
      <c r="BI83">
        <v>1.5049999999999999</v>
      </c>
      <c r="BJ83">
        <v>1.53</v>
      </c>
      <c r="BK83">
        <v>1.52</v>
      </c>
      <c r="BL83">
        <v>1.528</v>
      </c>
      <c r="BM83">
        <v>1.51</v>
      </c>
      <c r="BN83">
        <v>1.518</v>
      </c>
      <c r="BO83">
        <v>1.538</v>
      </c>
      <c r="BP83">
        <v>1.52</v>
      </c>
      <c r="BQ83">
        <v>1.53</v>
      </c>
      <c r="BR83">
        <v>1.518</v>
      </c>
      <c r="BS83">
        <v>1.52</v>
      </c>
      <c r="BT83">
        <v>1.538</v>
      </c>
      <c r="BU83">
        <v>1.5349999999999999</v>
      </c>
      <c r="BV83">
        <v>1.5449999999999999</v>
      </c>
      <c r="BW83">
        <v>1.5349999999999999</v>
      </c>
      <c r="BX83">
        <v>1.5349999999999999</v>
      </c>
      <c r="BY83">
        <v>1.5429999999999999</v>
      </c>
      <c r="BZ83">
        <v>1.538</v>
      </c>
      <c r="CA83">
        <v>1.518</v>
      </c>
      <c r="CB83">
        <v>1.5029999999999999</v>
      </c>
      <c r="CC83">
        <v>1.49</v>
      </c>
      <c r="CD83">
        <v>1.478</v>
      </c>
      <c r="CE83">
        <v>1.395</v>
      </c>
      <c r="CF83">
        <v>1.23</v>
      </c>
      <c r="CG83">
        <v>1.135</v>
      </c>
      <c r="CH83">
        <v>0.91800000000000004</v>
      </c>
      <c r="CI83">
        <v>0.67500000000000004</v>
      </c>
      <c r="CJ83">
        <v>0.59499999999999997</v>
      </c>
      <c r="CK83">
        <v>0.41499999999999998</v>
      </c>
      <c r="CL83">
        <v>0.33</v>
      </c>
      <c r="CM83">
        <v>0.39</v>
      </c>
      <c r="CN83">
        <v>0.36799999999999999</v>
      </c>
      <c r="CO83">
        <v>0.27300000000000002</v>
      </c>
      <c r="CP83">
        <v>0.24299999999999999</v>
      </c>
      <c r="CQ83">
        <v>0.185</v>
      </c>
      <c r="CR83">
        <v>0.16500000000000001</v>
      </c>
      <c r="CS83">
        <v>3.0000000000000001E-3</v>
      </c>
      <c r="CT83">
        <v>-2.8000000000000001E-2</v>
      </c>
      <c r="CU83">
        <v>-3.3000000000000002E-2</v>
      </c>
      <c r="CV83">
        <v>-0.04</v>
      </c>
      <c r="CW83">
        <v>-3.3000000000000002E-2</v>
      </c>
      <c r="CX83">
        <v>-7.0000000000000007E-2</v>
      </c>
      <c r="CY83">
        <v>-0.105</v>
      </c>
      <c r="CZ83">
        <v>-5.8000000000000003E-2</v>
      </c>
      <c r="DA83">
        <v>1.2999999999999999E-2</v>
      </c>
      <c r="DB83">
        <v>0.03</v>
      </c>
    </row>
    <row r="84" spans="2:108">
      <c r="B84" t="s">
        <v>134</v>
      </c>
      <c r="C84">
        <f>C83/100</f>
        <v>1.498E-2</v>
      </c>
      <c r="D84">
        <f t="shared" ref="D84:BO84" si="26">D83/100</f>
        <v>1.485E-2</v>
      </c>
      <c r="E84">
        <f t="shared" si="26"/>
        <v>1.5029999999999998E-2</v>
      </c>
      <c r="F84">
        <f t="shared" si="26"/>
        <v>1.5180000000000001E-2</v>
      </c>
      <c r="G84">
        <f t="shared" si="26"/>
        <v>1.5149999999999999E-2</v>
      </c>
      <c r="H84">
        <f t="shared" si="26"/>
        <v>1.5180000000000001E-2</v>
      </c>
      <c r="I84">
        <f t="shared" si="26"/>
        <v>1.5100000000000001E-2</v>
      </c>
      <c r="J84">
        <f t="shared" si="26"/>
        <v>1.5129999999999999E-2</v>
      </c>
      <c r="K84">
        <f t="shared" si="26"/>
        <v>1.533E-2</v>
      </c>
      <c r="L84">
        <f t="shared" si="26"/>
        <v>1.5349999999999999E-2</v>
      </c>
      <c r="M84">
        <f t="shared" si="26"/>
        <v>1.528E-2</v>
      </c>
      <c r="N84">
        <f t="shared" si="26"/>
        <v>1.528E-2</v>
      </c>
      <c r="O84">
        <f t="shared" si="26"/>
        <v>1.5229999999999999E-2</v>
      </c>
      <c r="P84">
        <f t="shared" si="26"/>
        <v>1.525E-2</v>
      </c>
      <c r="Q84">
        <f t="shared" si="26"/>
        <v>1.52E-2</v>
      </c>
      <c r="R84">
        <f t="shared" si="26"/>
        <v>1.5300000000000001E-2</v>
      </c>
      <c r="S84">
        <f t="shared" si="26"/>
        <v>1.5429999999999999E-2</v>
      </c>
      <c r="T84">
        <f t="shared" si="26"/>
        <v>1.5449999999999998E-2</v>
      </c>
      <c r="U84">
        <f t="shared" si="26"/>
        <v>1.5650000000000001E-2</v>
      </c>
      <c r="V84">
        <f t="shared" si="26"/>
        <v>1.5650000000000001E-2</v>
      </c>
      <c r="W84" t="e">
        <f t="shared" si="26"/>
        <v>#VALUE!</v>
      </c>
      <c r="X84">
        <f t="shared" si="26"/>
        <v>1.538E-2</v>
      </c>
      <c r="Y84">
        <f t="shared" si="26"/>
        <v>1.538E-2</v>
      </c>
      <c r="Z84">
        <f t="shared" si="26"/>
        <v>1.498E-2</v>
      </c>
      <c r="AA84">
        <f t="shared" si="26"/>
        <v>1.4930000000000001E-2</v>
      </c>
      <c r="AB84">
        <f t="shared" si="26"/>
        <v>1.4800000000000001E-2</v>
      </c>
      <c r="AC84">
        <f t="shared" si="26"/>
        <v>1.498E-2</v>
      </c>
      <c r="AD84">
        <f t="shared" si="26"/>
        <v>1.5149999999999999E-2</v>
      </c>
      <c r="AE84">
        <f t="shared" si="26"/>
        <v>1.52E-2</v>
      </c>
      <c r="AF84">
        <f t="shared" si="26"/>
        <v>1.5300000000000001E-2</v>
      </c>
      <c r="AG84">
        <f t="shared" si="26"/>
        <v>1.5229999999999999E-2</v>
      </c>
      <c r="AH84">
        <f t="shared" si="26"/>
        <v>1.525E-2</v>
      </c>
      <c r="AI84">
        <f t="shared" si="26"/>
        <v>1.5300000000000001E-2</v>
      </c>
      <c r="AJ84">
        <f t="shared" si="26"/>
        <v>1.5180000000000001E-2</v>
      </c>
      <c r="AK84">
        <f t="shared" si="26"/>
        <v>1.533E-2</v>
      </c>
      <c r="AL84">
        <f t="shared" si="26"/>
        <v>1.528E-2</v>
      </c>
      <c r="AM84">
        <f t="shared" si="26"/>
        <v>1.52E-2</v>
      </c>
      <c r="AN84" t="e">
        <f t="shared" si="26"/>
        <v>#VALUE!</v>
      </c>
      <c r="AO84">
        <f t="shared" si="26"/>
        <v>1.5349999999999999E-2</v>
      </c>
      <c r="AP84">
        <f t="shared" si="26"/>
        <v>1.5180000000000001E-2</v>
      </c>
      <c r="AQ84">
        <f t="shared" si="26"/>
        <v>1.49E-2</v>
      </c>
      <c r="AR84">
        <f t="shared" si="26"/>
        <v>1.5049999999999999E-2</v>
      </c>
      <c r="AS84">
        <f t="shared" si="26"/>
        <v>1.4950000000000001E-2</v>
      </c>
      <c r="AT84">
        <f t="shared" si="26"/>
        <v>1.473E-2</v>
      </c>
      <c r="AU84">
        <f t="shared" si="26"/>
        <v>1.4879999999999999E-2</v>
      </c>
      <c r="AV84">
        <f t="shared" si="26"/>
        <v>1.4999999999999999E-2</v>
      </c>
      <c r="AW84">
        <f t="shared" si="26"/>
        <v>1.4930000000000001E-2</v>
      </c>
      <c r="AX84">
        <f t="shared" si="26"/>
        <v>1.4999999999999999E-2</v>
      </c>
      <c r="AY84">
        <f t="shared" si="26"/>
        <v>1.498E-2</v>
      </c>
      <c r="AZ84">
        <f t="shared" si="26"/>
        <v>1.5100000000000001E-2</v>
      </c>
      <c r="BA84">
        <f t="shared" si="26"/>
        <v>1.5300000000000001E-2</v>
      </c>
      <c r="BB84">
        <f t="shared" si="26"/>
        <v>1.508E-2</v>
      </c>
      <c r="BC84">
        <f t="shared" si="26"/>
        <v>1.5180000000000001E-2</v>
      </c>
      <c r="BD84">
        <f t="shared" si="26"/>
        <v>1.5229999999999999E-2</v>
      </c>
      <c r="BE84">
        <f t="shared" si="26"/>
        <v>1.5029999999999998E-2</v>
      </c>
      <c r="BF84">
        <f t="shared" si="26"/>
        <v>1.5129999999999999E-2</v>
      </c>
      <c r="BG84">
        <f t="shared" si="26"/>
        <v>1.5149999999999999E-2</v>
      </c>
      <c r="BH84">
        <f t="shared" si="26"/>
        <v>1.49E-2</v>
      </c>
      <c r="BI84">
        <f t="shared" si="26"/>
        <v>1.5049999999999999E-2</v>
      </c>
      <c r="BJ84">
        <f t="shared" si="26"/>
        <v>1.5300000000000001E-2</v>
      </c>
      <c r="BK84">
        <f t="shared" si="26"/>
        <v>1.52E-2</v>
      </c>
      <c r="BL84">
        <f t="shared" si="26"/>
        <v>1.528E-2</v>
      </c>
      <c r="BM84">
        <f t="shared" si="26"/>
        <v>1.5100000000000001E-2</v>
      </c>
      <c r="BN84">
        <f t="shared" si="26"/>
        <v>1.5180000000000001E-2</v>
      </c>
      <c r="BO84">
        <f t="shared" si="26"/>
        <v>1.538E-2</v>
      </c>
      <c r="BP84">
        <f t="shared" ref="BP84:DB84" si="27">BP83/100</f>
        <v>1.52E-2</v>
      </c>
      <c r="BQ84">
        <f t="shared" si="27"/>
        <v>1.5300000000000001E-2</v>
      </c>
      <c r="BR84">
        <f t="shared" si="27"/>
        <v>1.5180000000000001E-2</v>
      </c>
      <c r="BS84">
        <f t="shared" si="27"/>
        <v>1.52E-2</v>
      </c>
      <c r="BT84">
        <f t="shared" si="27"/>
        <v>1.538E-2</v>
      </c>
      <c r="BU84">
        <f t="shared" si="27"/>
        <v>1.5349999999999999E-2</v>
      </c>
      <c r="BV84">
        <f t="shared" si="27"/>
        <v>1.5449999999999998E-2</v>
      </c>
      <c r="BW84">
        <f t="shared" si="27"/>
        <v>1.5349999999999999E-2</v>
      </c>
      <c r="BX84">
        <f t="shared" si="27"/>
        <v>1.5349999999999999E-2</v>
      </c>
      <c r="BY84">
        <f t="shared" si="27"/>
        <v>1.5429999999999999E-2</v>
      </c>
      <c r="BZ84">
        <f t="shared" si="27"/>
        <v>1.538E-2</v>
      </c>
      <c r="CA84">
        <f t="shared" si="27"/>
        <v>1.5180000000000001E-2</v>
      </c>
      <c r="CB84">
        <f t="shared" si="27"/>
        <v>1.5029999999999998E-2</v>
      </c>
      <c r="CC84">
        <f t="shared" si="27"/>
        <v>1.49E-2</v>
      </c>
      <c r="CD84">
        <f t="shared" si="27"/>
        <v>1.478E-2</v>
      </c>
      <c r="CE84">
        <f t="shared" si="27"/>
        <v>1.3950000000000001E-2</v>
      </c>
      <c r="CF84">
        <f t="shared" si="27"/>
        <v>1.23E-2</v>
      </c>
      <c r="CG84">
        <f t="shared" si="27"/>
        <v>1.1350000000000001E-2</v>
      </c>
      <c r="CH84">
        <f t="shared" si="27"/>
        <v>9.1800000000000007E-3</v>
      </c>
      <c r="CI84">
        <f t="shared" si="27"/>
        <v>6.7500000000000008E-3</v>
      </c>
      <c r="CJ84">
        <f t="shared" si="27"/>
        <v>5.9499999999999996E-3</v>
      </c>
      <c r="CK84">
        <f t="shared" si="27"/>
        <v>4.15E-3</v>
      </c>
      <c r="CL84">
        <f t="shared" si="27"/>
        <v>3.3E-3</v>
      </c>
      <c r="CM84">
        <f t="shared" si="27"/>
        <v>3.9000000000000003E-3</v>
      </c>
      <c r="CN84">
        <f t="shared" si="27"/>
        <v>3.6800000000000001E-3</v>
      </c>
      <c r="CO84">
        <f t="shared" si="27"/>
        <v>2.7300000000000002E-3</v>
      </c>
      <c r="CP84">
        <f t="shared" si="27"/>
        <v>2.4299999999999999E-3</v>
      </c>
      <c r="CQ84">
        <f t="shared" si="27"/>
        <v>1.8500000000000001E-3</v>
      </c>
      <c r="CR84">
        <f t="shared" si="27"/>
        <v>1.65E-3</v>
      </c>
      <c r="CS84">
        <f t="shared" si="27"/>
        <v>3.0000000000000001E-5</v>
      </c>
      <c r="CT84">
        <f t="shared" si="27"/>
        <v>-2.8000000000000003E-4</v>
      </c>
      <c r="CU84">
        <f t="shared" si="27"/>
        <v>-3.3E-4</v>
      </c>
      <c r="CV84">
        <f t="shared" si="27"/>
        <v>-4.0000000000000002E-4</v>
      </c>
      <c r="CW84">
        <f t="shared" si="27"/>
        <v>-3.3E-4</v>
      </c>
      <c r="CX84">
        <f t="shared" si="27"/>
        <v>-7.000000000000001E-4</v>
      </c>
      <c r="CY84">
        <f t="shared" si="27"/>
        <v>-1.0499999999999999E-3</v>
      </c>
      <c r="CZ84">
        <f t="shared" si="27"/>
        <v>-5.8E-4</v>
      </c>
      <c r="DA84">
        <f t="shared" si="27"/>
        <v>1.2999999999999999E-4</v>
      </c>
      <c r="DB84">
        <f t="shared" si="27"/>
        <v>2.9999999999999997E-4</v>
      </c>
    </row>
    <row r="86" spans="2:108">
      <c r="B86" t="s">
        <v>136</v>
      </c>
      <c r="C86">
        <v>1.6910000000000001</v>
      </c>
      <c r="D86">
        <v>1.728</v>
      </c>
      <c r="E86">
        <v>1.786</v>
      </c>
      <c r="F86">
        <v>1.8660000000000001</v>
      </c>
      <c r="G86">
        <v>1.8140000000000001</v>
      </c>
      <c r="H86">
        <v>1.9259999999999999</v>
      </c>
      <c r="I86">
        <v>1.9330000000000001</v>
      </c>
      <c r="J86">
        <v>1.9430000000000001</v>
      </c>
      <c r="K86">
        <v>1.909</v>
      </c>
      <c r="L86">
        <v>1.87</v>
      </c>
      <c r="M86">
        <v>1.8149999999999999</v>
      </c>
      <c r="N86">
        <v>1.8340000000000001</v>
      </c>
      <c r="O86">
        <v>1.8080000000000001</v>
      </c>
      <c r="P86">
        <v>1.786</v>
      </c>
      <c r="Q86">
        <v>1.738</v>
      </c>
      <c r="R86">
        <v>1.772</v>
      </c>
      <c r="S86">
        <v>1.774</v>
      </c>
      <c r="T86">
        <v>1.764</v>
      </c>
      <c r="U86">
        <v>1.74</v>
      </c>
      <c r="V86">
        <v>1.7669999999999999</v>
      </c>
      <c r="W86" t="s">
        <v>135</v>
      </c>
      <c r="X86">
        <v>1.8360000000000001</v>
      </c>
      <c r="Y86">
        <v>1.7090000000000001</v>
      </c>
      <c r="Z86">
        <v>1.7809999999999999</v>
      </c>
      <c r="AA86">
        <v>1.7969999999999999</v>
      </c>
      <c r="AB86">
        <v>1.8420000000000001</v>
      </c>
      <c r="AC86">
        <v>1.829</v>
      </c>
      <c r="AD86">
        <v>1.833</v>
      </c>
      <c r="AE86">
        <v>1.79</v>
      </c>
      <c r="AF86">
        <v>1.897</v>
      </c>
      <c r="AG86">
        <v>1.819</v>
      </c>
      <c r="AH86">
        <v>1.8919999999999999</v>
      </c>
      <c r="AI86">
        <v>1.889</v>
      </c>
      <c r="AJ86">
        <v>1.9239999999999999</v>
      </c>
      <c r="AK86">
        <v>1.9079999999999999</v>
      </c>
      <c r="AL86">
        <v>1.917</v>
      </c>
      <c r="AM86">
        <v>1.9350000000000001</v>
      </c>
      <c r="AN86" t="s">
        <v>135</v>
      </c>
      <c r="AO86">
        <v>1.905</v>
      </c>
      <c r="AP86">
        <v>1.8740000000000001</v>
      </c>
      <c r="AQ86">
        <v>1.895</v>
      </c>
      <c r="AR86">
        <v>1.919</v>
      </c>
      <c r="AS86">
        <v>1.8819999999999999</v>
      </c>
      <c r="AT86">
        <v>1.788</v>
      </c>
      <c r="AU86">
        <v>1.8109999999999999</v>
      </c>
      <c r="AV86">
        <v>1.827</v>
      </c>
      <c r="AW86">
        <v>1.8740000000000001</v>
      </c>
      <c r="AX86">
        <v>1.8580000000000001</v>
      </c>
      <c r="AY86">
        <v>1.825</v>
      </c>
      <c r="AZ86">
        <v>1.8480000000000001</v>
      </c>
      <c r="BA86">
        <v>1.8180000000000001</v>
      </c>
      <c r="BB86">
        <v>1.788</v>
      </c>
      <c r="BC86">
        <v>1.8089999999999999</v>
      </c>
      <c r="BD86">
        <v>1.8360000000000001</v>
      </c>
      <c r="BE86">
        <v>1.7689999999999999</v>
      </c>
      <c r="BF86">
        <v>1.7689999999999999</v>
      </c>
      <c r="BG86">
        <v>1.74</v>
      </c>
      <c r="BH86">
        <v>1.681</v>
      </c>
      <c r="BI86">
        <v>1.605</v>
      </c>
      <c r="BJ86">
        <v>1.641</v>
      </c>
      <c r="BK86">
        <v>1.5940000000000001</v>
      </c>
      <c r="BL86">
        <v>1.5580000000000001</v>
      </c>
      <c r="BM86">
        <v>1.52</v>
      </c>
      <c r="BN86">
        <v>1.52</v>
      </c>
      <c r="BO86">
        <v>1.603</v>
      </c>
      <c r="BP86">
        <v>1.649</v>
      </c>
      <c r="BQ86">
        <v>1.6439999999999999</v>
      </c>
      <c r="BR86">
        <v>1.5780000000000001</v>
      </c>
      <c r="BS86">
        <v>1.5469999999999999</v>
      </c>
      <c r="BT86">
        <v>1.59</v>
      </c>
      <c r="BU86">
        <v>1.63</v>
      </c>
      <c r="BV86">
        <v>1.617</v>
      </c>
      <c r="BW86">
        <v>1.5880000000000001</v>
      </c>
      <c r="BX86">
        <v>1.556</v>
      </c>
      <c r="BY86">
        <v>1.57</v>
      </c>
      <c r="BZ86">
        <v>1.5249999999999999</v>
      </c>
      <c r="CA86">
        <v>1.4710000000000001</v>
      </c>
      <c r="CB86">
        <v>1.377</v>
      </c>
      <c r="CC86">
        <v>1.33</v>
      </c>
      <c r="CD86">
        <v>1.31</v>
      </c>
      <c r="CE86">
        <v>1.2989999999999999</v>
      </c>
      <c r="CF86">
        <v>1.127</v>
      </c>
      <c r="CG86">
        <v>1.0880000000000001</v>
      </c>
      <c r="CH86">
        <v>1.01</v>
      </c>
      <c r="CI86">
        <v>0.99199999999999999</v>
      </c>
      <c r="CJ86">
        <v>0.92600000000000005</v>
      </c>
      <c r="CK86">
        <v>0.70599999999999996</v>
      </c>
      <c r="CL86">
        <v>0.499</v>
      </c>
      <c r="CM86">
        <v>0.748</v>
      </c>
      <c r="CN86">
        <v>0.82</v>
      </c>
      <c r="CO86">
        <v>0.84899999999999998</v>
      </c>
      <c r="CP86">
        <v>0.95099999999999996</v>
      </c>
      <c r="CQ86">
        <v>0.72799999999999998</v>
      </c>
      <c r="CR86">
        <v>0.997</v>
      </c>
      <c r="CS86">
        <v>1.266</v>
      </c>
      <c r="CT86">
        <v>1.119</v>
      </c>
      <c r="CU86">
        <v>0.93799999999999994</v>
      </c>
      <c r="CV86">
        <v>0.76400000000000001</v>
      </c>
      <c r="CW86">
        <v>0.81599999999999995</v>
      </c>
      <c r="CX86">
        <v>0.85799999999999998</v>
      </c>
      <c r="CY86">
        <v>0.81100000000000005</v>
      </c>
      <c r="CZ86">
        <v>0.749</v>
      </c>
      <c r="DA86">
        <v>0.67</v>
      </c>
      <c r="DB86">
        <v>0.69799999999999995</v>
      </c>
    </row>
    <row r="87" spans="2:108">
      <c r="B87" t="s">
        <v>136</v>
      </c>
      <c r="C87">
        <f t="shared" ref="C87:AH87" si="28">C86/100</f>
        <v>1.6910000000000001E-2</v>
      </c>
      <c r="D87">
        <f t="shared" si="28"/>
        <v>1.728E-2</v>
      </c>
      <c r="E87">
        <f t="shared" si="28"/>
        <v>1.7860000000000001E-2</v>
      </c>
      <c r="F87">
        <f t="shared" si="28"/>
        <v>1.866E-2</v>
      </c>
      <c r="G87">
        <f t="shared" si="28"/>
        <v>1.814E-2</v>
      </c>
      <c r="H87">
        <f t="shared" si="28"/>
        <v>1.9259999999999999E-2</v>
      </c>
      <c r="I87">
        <f t="shared" si="28"/>
        <v>1.933E-2</v>
      </c>
      <c r="J87">
        <f t="shared" si="28"/>
        <v>1.9429999999999999E-2</v>
      </c>
      <c r="K87">
        <f t="shared" si="28"/>
        <v>1.9089999999999999E-2</v>
      </c>
      <c r="L87">
        <f t="shared" si="28"/>
        <v>1.8700000000000001E-2</v>
      </c>
      <c r="M87">
        <f t="shared" si="28"/>
        <v>1.8149999999999999E-2</v>
      </c>
      <c r="N87">
        <f t="shared" si="28"/>
        <v>1.8340000000000002E-2</v>
      </c>
      <c r="O87">
        <f t="shared" si="28"/>
        <v>1.8079999999999999E-2</v>
      </c>
      <c r="P87">
        <f t="shared" si="28"/>
        <v>1.7860000000000001E-2</v>
      </c>
      <c r="Q87">
        <f t="shared" si="28"/>
        <v>1.738E-2</v>
      </c>
      <c r="R87">
        <f t="shared" si="28"/>
        <v>1.772E-2</v>
      </c>
      <c r="S87">
        <f t="shared" si="28"/>
        <v>1.7739999999999999E-2</v>
      </c>
      <c r="T87">
        <f t="shared" si="28"/>
        <v>1.7639999999999999E-2</v>
      </c>
      <c r="U87">
        <f t="shared" si="28"/>
        <v>1.7399999999999999E-2</v>
      </c>
      <c r="V87">
        <f t="shared" si="28"/>
        <v>1.7669999999999998E-2</v>
      </c>
      <c r="W87" t="e">
        <f t="shared" si="28"/>
        <v>#VALUE!</v>
      </c>
      <c r="X87">
        <f t="shared" si="28"/>
        <v>1.8360000000000001E-2</v>
      </c>
      <c r="Y87">
        <f t="shared" si="28"/>
        <v>1.7090000000000001E-2</v>
      </c>
      <c r="Z87">
        <f t="shared" si="28"/>
        <v>1.7809999999999999E-2</v>
      </c>
      <c r="AA87">
        <f t="shared" si="28"/>
        <v>1.797E-2</v>
      </c>
      <c r="AB87">
        <f t="shared" si="28"/>
        <v>1.8420000000000002E-2</v>
      </c>
      <c r="AC87">
        <f t="shared" si="28"/>
        <v>1.8290000000000001E-2</v>
      </c>
      <c r="AD87">
        <f t="shared" si="28"/>
        <v>1.8329999999999999E-2</v>
      </c>
      <c r="AE87">
        <f t="shared" si="28"/>
        <v>1.7899999999999999E-2</v>
      </c>
      <c r="AF87">
        <f t="shared" si="28"/>
        <v>1.8970000000000001E-2</v>
      </c>
      <c r="AG87">
        <f t="shared" si="28"/>
        <v>1.8189999999999998E-2</v>
      </c>
      <c r="AH87">
        <f t="shared" si="28"/>
        <v>1.8919999999999999E-2</v>
      </c>
      <c r="AI87">
        <f t="shared" ref="AI87:BN87" si="29">AI86/100</f>
        <v>1.8890000000000001E-2</v>
      </c>
      <c r="AJ87">
        <f t="shared" si="29"/>
        <v>1.924E-2</v>
      </c>
      <c r="AK87">
        <f t="shared" si="29"/>
        <v>1.908E-2</v>
      </c>
      <c r="AL87">
        <f t="shared" si="29"/>
        <v>1.917E-2</v>
      </c>
      <c r="AM87">
        <f t="shared" si="29"/>
        <v>1.9349999999999999E-2</v>
      </c>
      <c r="AN87" t="e">
        <f t="shared" si="29"/>
        <v>#VALUE!</v>
      </c>
      <c r="AO87">
        <f t="shared" si="29"/>
        <v>1.9050000000000001E-2</v>
      </c>
      <c r="AP87">
        <f t="shared" si="29"/>
        <v>1.874E-2</v>
      </c>
      <c r="AQ87">
        <f t="shared" si="29"/>
        <v>1.8950000000000002E-2</v>
      </c>
      <c r="AR87">
        <f t="shared" si="29"/>
        <v>1.9189999999999999E-2</v>
      </c>
      <c r="AS87">
        <f t="shared" si="29"/>
        <v>1.882E-2</v>
      </c>
      <c r="AT87">
        <f t="shared" si="29"/>
        <v>1.788E-2</v>
      </c>
      <c r="AU87">
        <f t="shared" si="29"/>
        <v>1.8110000000000001E-2</v>
      </c>
      <c r="AV87">
        <f t="shared" si="29"/>
        <v>1.8269999999999998E-2</v>
      </c>
      <c r="AW87">
        <f t="shared" si="29"/>
        <v>1.874E-2</v>
      </c>
      <c r="AX87">
        <f t="shared" si="29"/>
        <v>1.8579999999999999E-2</v>
      </c>
      <c r="AY87">
        <f t="shared" si="29"/>
        <v>1.8249999999999999E-2</v>
      </c>
      <c r="AZ87">
        <f t="shared" si="29"/>
        <v>1.848E-2</v>
      </c>
      <c r="BA87">
        <f t="shared" si="29"/>
        <v>1.8180000000000002E-2</v>
      </c>
      <c r="BB87">
        <f t="shared" si="29"/>
        <v>1.788E-2</v>
      </c>
      <c r="BC87">
        <f t="shared" si="29"/>
        <v>1.8089999999999998E-2</v>
      </c>
      <c r="BD87">
        <f t="shared" si="29"/>
        <v>1.8360000000000001E-2</v>
      </c>
      <c r="BE87">
        <f t="shared" si="29"/>
        <v>1.7689999999999997E-2</v>
      </c>
      <c r="BF87">
        <f t="shared" si="29"/>
        <v>1.7689999999999997E-2</v>
      </c>
      <c r="BG87">
        <f t="shared" si="29"/>
        <v>1.7399999999999999E-2</v>
      </c>
      <c r="BH87">
        <f t="shared" si="29"/>
        <v>1.6810000000000002E-2</v>
      </c>
      <c r="BI87">
        <f t="shared" si="29"/>
        <v>1.6049999999999998E-2</v>
      </c>
      <c r="BJ87">
        <f t="shared" si="29"/>
        <v>1.6410000000000001E-2</v>
      </c>
      <c r="BK87">
        <f t="shared" si="29"/>
        <v>1.5939999999999999E-2</v>
      </c>
      <c r="BL87">
        <f t="shared" si="29"/>
        <v>1.558E-2</v>
      </c>
      <c r="BM87">
        <f t="shared" si="29"/>
        <v>1.52E-2</v>
      </c>
      <c r="BN87">
        <f t="shared" si="29"/>
        <v>1.52E-2</v>
      </c>
      <c r="BO87">
        <f t="shared" ref="BO87:CT87" si="30">BO86/100</f>
        <v>1.6029999999999999E-2</v>
      </c>
      <c r="BP87">
        <f t="shared" si="30"/>
        <v>1.6490000000000001E-2</v>
      </c>
      <c r="BQ87">
        <f t="shared" si="30"/>
        <v>1.644E-2</v>
      </c>
      <c r="BR87">
        <f t="shared" si="30"/>
        <v>1.5780000000000002E-2</v>
      </c>
      <c r="BS87">
        <f t="shared" si="30"/>
        <v>1.5469999999999999E-2</v>
      </c>
      <c r="BT87">
        <f t="shared" si="30"/>
        <v>1.5900000000000001E-2</v>
      </c>
      <c r="BU87">
        <f t="shared" si="30"/>
        <v>1.6299999999999999E-2</v>
      </c>
      <c r="BV87">
        <f t="shared" si="30"/>
        <v>1.617E-2</v>
      </c>
      <c r="BW87">
        <f t="shared" si="30"/>
        <v>1.5880000000000002E-2</v>
      </c>
      <c r="BX87">
        <f t="shared" si="30"/>
        <v>1.5560000000000001E-2</v>
      </c>
      <c r="BY87">
        <f t="shared" si="30"/>
        <v>1.5700000000000002E-2</v>
      </c>
      <c r="BZ87">
        <f t="shared" si="30"/>
        <v>1.525E-2</v>
      </c>
      <c r="CA87">
        <f t="shared" si="30"/>
        <v>1.4710000000000001E-2</v>
      </c>
      <c r="CB87">
        <f t="shared" si="30"/>
        <v>1.3769999999999999E-2</v>
      </c>
      <c r="CC87">
        <f t="shared" si="30"/>
        <v>1.3300000000000001E-2</v>
      </c>
      <c r="CD87">
        <f t="shared" si="30"/>
        <v>1.3100000000000001E-2</v>
      </c>
      <c r="CE87">
        <f t="shared" si="30"/>
        <v>1.299E-2</v>
      </c>
      <c r="CF87">
        <f t="shared" si="30"/>
        <v>1.1270000000000001E-2</v>
      </c>
      <c r="CG87">
        <f t="shared" si="30"/>
        <v>1.0880000000000001E-2</v>
      </c>
      <c r="CH87">
        <f t="shared" si="30"/>
        <v>1.01E-2</v>
      </c>
      <c r="CI87">
        <f t="shared" si="30"/>
        <v>9.92E-3</v>
      </c>
      <c r="CJ87">
        <f t="shared" si="30"/>
        <v>9.2600000000000009E-3</v>
      </c>
      <c r="CK87">
        <f t="shared" si="30"/>
        <v>7.0599999999999994E-3</v>
      </c>
      <c r="CL87">
        <f t="shared" si="30"/>
        <v>4.9899999999999996E-3</v>
      </c>
      <c r="CM87">
        <f t="shared" si="30"/>
        <v>7.4799999999999997E-3</v>
      </c>
      <c r="CN87">
        <f t="shared" si="30"/>
        <v>8.199999999999999E-3</v>
      </c>
      <c r="CO87">
        <f t="shared" si="30"/>
        <v>8.4899999999999993E-3</v>
      </c>
      <c r="CP87">
        <f t="shared" si="30"/>
        <v>9.5099999999999994E-3</v>
      </c>
      <c r="CQ87">
        <f t="shared" si="30"/>
        <v>7.28E-3</v>
      </c>
      <c r="CR87">
        <f t="shared" si="30"/>
        <v>9.9699999999999997E-3</v>
      </c>
      <c r="CS87">
        <f t="shared" si="30"/>
        <v>1.2659999999999999E-2</v>
      </c>
      <c r="CT87">
        <f t="shared" si="30"/>
        <v>1.119E-2</v>
      </c>
      <c r="CU87">
        <f t="shared" ref="CU87:DB87" si="31">CU86/100</f>
        <v>9.3799999999999994E-3</v>
      </c>
      <c r="CV87">
        <f t="shared" si="31"/>
        <v>7.6400000000000001E-3</v>
      </c>
      <c r="CW87">
        <f t="shared" si="31"/>
        <v>8.1599999999999989E-3</v>
      </c>
      <c r="CX87">
        <f t="shared" si="31"/>
        <v>8.5799999999999991E-3</v>
      </c>
      <c r="CY87">
        <f t="shared" si="31"/>
        <v>8.1100000000000009E-3</v>
      </c>
      <c r="CZ87">
        <f t="shared" si="31"/>
        <v>7.4900000000000001E-3</v>
      </c>
      <c r="DA87">
        <f t="shared" si="31"/>
        <v>6.7000000000000002E-3</v>
      </c>
      <c r="DB87">
        <f t="shared" si="31"/>
        <v>6.9799999999999992E-3</v>
      </c>
      <c r="DD87" s="27"/>
    </row>
    <row r="88" spans="2:108">
      <c r="DD88" s="27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ices"/>
  <dimension ref="A2:DB71"/>
  <sheetViews>
    <sheetView topLeftCell="A2" workbookViewId="0">
      <pane xSplit="2" ySplit="2" topLeftCell="CC4" activePane="bottomRight" state="frozen"/>
      <selection activeCell="A2" sqref="A2"/>
      <selection pane="topRight" activeCell="C2" sqref="C2"/>
      <selection pane="bottomLeft" activeCell="A4" sqref="A4"/>
      <selection pane="bottomRight" activeCell="CZ7" sqref="CZ7"/>
    </sheetView>
  </sheetViews>
  <sheetFormatPr baseColWidth="10" defaultColWidth="8.83203125" defaultRowHeight="15"/>
  <cols>
    <col min="1" max="1" width="16.83203125" bestFit="1" customWidth="1"/>
    <col min="3" max="5" width="11.6640625" bestFit="1" customWidth="1"/>
    <col min="6" max="6" width="10.1640625" bestFit="1" customWidth="1"/>
    <col min="7" max="9" width="11.6640625" bestFit="1" customWidth="1"/>
    <col min="10" max="10" width="10.6640625" customWidth="1"/>
    <col min="11" max="44" width="11.6640625" bestFit="1" customWidth="1"/>
    <col min="45" max="50" width="11.6640625" customWidth="1"/>
    <col min="51" max="62" width="11.6640625" bestFit="1" customWidth="1"/>
    <col min="63" max="65" width="9.6640625" bestFit="1" customWidth="1"/>
    <col min="71" max="78" width="9.6640625" bestFit="1" customWidth="1"/>
    <col min="79" max="84" width="9.83203125" bestFit="1" customWidth="1"/>
    <col min="85" max="90" width="9.5" bestFit="1" customWidth="1"/>
    <col min="91" max="105" width="9.83203125" bestFit="1" customWidth="1"/>
    <col min="106" max="106" width="10.5" bestFit="1" customWidth="1"/>
  </cols>
  <sheetData>
    <row r="2" spans="1:106">
      <c r="C2" s="1">
        <v>43769</v>
      </c>
      <c r="D2" s="1">
        <v>43770</v>
      </c>
      <c r="E2" s="1">
        <v>43773</v>
      </c>
      <c r="F2" s="1">
        <v>43774</v>
      </c>
      <c r="G2" s="1">
        <v>43775</v>
      </c>
      <c r="H2" s="1">
        <v>43776</v>
      </c>
      <c r="I2" s="1">
        <v>43777</v>
      </c>
      <c r="J2" s="1">
        <v>43780</v>
      </c>
      <c r="K2" s="1">
        <v>43781</v>
      </c>
      <c r="L2" s="1">
        <v>43782</v>
      </c>
      <c r="M2" s="1">
        <v>43783</v>
      </c>
      <c r="N2" s="1">
        <v>43784</v>
      </c>
      <c r="O2" s="1">
        <v>43787</v>
      </c>
      <c r="P2" s="1">
        <v>43788</v>
      </c>
      <c r="Q2" s="1">
        <v>43789</v>
      </c>
      <c r="R2" s="1">
        <v>43790</v>
      </c>
      <c r="S2" s="1">
        <v>43791</v>
      </c>
      <c r="T2" s="1">
        <v>43794</v>
      </c>
      <c r="U2" s="1">
        <v>43795</v>
      </c>
      <c r="V2" s="1">
        <v>43796</v>
      </c>
      <c r="W2" s="1">
        <v>43798</v>
      </c>
      <c r="X2" s="1">
        <v>43801</v>
      </c>
      <c r="Y2" s="1">
        <v>43802</v>
      </c>
      <c r="Z2" s="1">
        <v>43803</v>
      </c>
      <c r="AA2" s="1">
        <v>43804</v>
      </c>
      <c r="AB2" s="1">
        <v>43805</v>
      </c>
      <c r="AC2" s="1">
        <v>43808</v>
      </c>
      <c r="AD2" s="1">
        <v>43809</v>
      </c>
      <c r="AE2" s="1">
        <v>43810</v>
      </c>
      <c r="AF2" s="1">
        <v>43811</v>
      </c>
      <c r="AG2" s="1">
        <v>43812</v>
      </c>
      <c r="AH2" s="1">
        <v>43815</v>
      </c>
      <c r="AI2" s="1">
        <v>43816</v>
      </c>
      <c r="AJ2" s="1">
        <v>43817</v>
      </c>
      <c r="AK2" s="1">
        <v>43818</v>
      </c>
      <c r="AL2" s="1">
        <v>43819</v>
      </c>
      <c r="AM2" s="1">
        <v>43822</v>
      </c>
      <c r="AN2" s="1">
        <v>43823</v>
      </c>
      <c r="AO2" s="1">
        <v>43825</v>
      </c>
      <c r="AP2" s="1">
        <v>43826</v>
      </c>
      <c r="AQ2" s="1">
        <v>43829</v>
      </c>
      <c r="AR2" s="1">
        <v>43830</v>
      </c>
      <c r="AS2" s="1">
        <v>43832</v>
      </c>
      <c r="AT2" s="1">
        <v>43833</v>
      </c>
      <c r="AU2" s="1">
        <v>43836</v>
      </c>
      <c r="AV2" s="1">
        <v>43837</v>
      </c>
      <c r="AW2" s="1">
        <v>43838</v>
      </c>
      <c r="AX2" s="1">
        <v>43839</v>
      </c>
      <c r="AY2" s="1">
        <v>43840</v>
      </c>
      <c r="AZ2" s="1">
        <v>43843</v>
      </c>
      <c r="BA2" s="1">
        <v>43844</v>
      </c>
      <c r="BB2" s="1">
        <v>43845</v>
      </c>
      <c r="BC2" s="1">
        <v>43846</v>
      </c>
      <c r="BD2" s="1">
        <v>43847</v>
      </c>
      <c r="BE2" s="1">
        <v>43851</v>
      </c>
      <c r="BF2" s="1">
        <v>43852</v>
      </c>
      <c r="BG2" s="1">
        <v>43853</v>
      </c>
      <c r="BH2" s="1">
        <v>43854</v>
      </c>
      <c r="BI2" s="1">
        <v>43857</v>
      </c>
      <c r="BJ2" s="1">
        <v>43858</v>
      </c>
      <c r="BK2" s="1">
        <v>43859</v>
      </c>
      <c r="BL2" s="1">
        <v>43860</v>
      </c>
      <c r="BM2" s="1">
        <v>43861</v>
      </c>
      <c r="BN2" s="1">
        <v>43864</v>
      </c>
      <c r="BO2" s="1">
        <v>43865</v>
      </c>
      <c r="BP2" s="1">
        <v>43866</v>
      </c>
      <c r="BQ2" s="1">
        <v>43867</v>
      </c>
      <c r="BR2" s="1">
        <v>43868</v>
      </c>
      <c r="BS2" s="1">
        <v>43871</v>
      </c>
      <c r="BT2" s="1">
        <v>43872</v>
      </c>
      <c r="BU2" s="1">
        <v>43873</v>
      </c>
      <c r="BV2" s="1">
        <v>43874</v>
      </c>
      <c r="BW2" s="1">
        <v>43875</v>
      </c>
      <c r="BX2" s="1">
        <v>43879</v>
      </c>
      <c r="BY2" s="1">
        <v>43880</v>
      </c>
      <c r="BZ2" s="1">
        <v>43881</v>
      </c>
      <c r="CA2" s="1">
        <v>43882</v>
      </c>
      <c r="CB2" s="1">
        <v>43885</v>
      </c>
      <c r="CC2" s="1">
        <v>43886</v>
      </c>
      <c r="CD2" s="1">
        <v>43887</v>
      </c>
      <c r="CE2" s="1">
        <v>43888</v>
      </c>
      <c r="CF2" s="1">
        <v>43889</v>
      </c>
      <c r="CG2" s="1">
        <v>43892</v>
      </c>
      <c r="CH2" s="1">
        <v>43893</v>
      </c>
      <c r="CI2" s="1">
        <v>43894</v>
      </c>
      <c r="CJ2" s="1">
        <v>43895</v>
      </c>
      <c r="CK2" s="1">
        <v>43896</v>
      </c>
      <c r="CL2" s="1">
        <v>43899</v>
      </c>
      <c r="CM2" s="1">
        <v>43900</v>
      </c>
      <c r="CN2" s="1">
        <v>43901</v>
      </c>
      <c r="CO2" s="1">
        <v>43902</v>
      </c>
      <c r="CP2" s="1">
        <v>43903</v>
      </c>
      <c r="CQ2" s="1">
        <v>43906</v>
      </c>
      <c r="CR2" s="1">
        <v>43907</v>
      </c>
      <c r="CS2" s="1">
        <v>43908</v>
      </c>
      <c r="CT2" s="1">
        <v>43909</v>
      </c>
      <c r="CU2" s="1">
        <v>43910</v>
      </c>
      <c r="CV2" s="1">
        <v>43913</v>
      </c>
      <c r="CW2" s="1">
        <v>43914</v>
      </c>
      <c r="CX2" s="1">
        <v>43915</v>
      </c>
      <c r="CY2" s="1">
        <v>43916</v>
      </c>
      <c r="CZ2" s="1">
        <v>43917</v>
      </c>
      <c r="DA2" s="1">
        <v>43920</v>
      </c>
      <c r="DB2" s="1">
        <v>43921</v>
      </c>
    </row>
    <row r="3" spans="1:106">
      <c r="A3" s="2" t="s">
        <v>0</v>
      </c>
    </row>
    <row r="4" spans="1:106">
      <c r="A4" s="3" t="s">
        <v>1</v>
      </c>
      <c r="B4">
        <v>104</v>
      </c>
      <c r="C4" s="6">
        <v>191.65</v>
      </c>
      <c r="D4" s="6">
        <v>193.62</v>
      </c>
      <c r="E4" s="6">
        <v>194.72</v>
      </c>
      <c r="F4" s="6">
        <v>194.32</v>
      </c>
      <c r="G4" s="6">
        <v>191.55</v>
      </c>
      <c r="H4" s="6">
        <v>190.42</v>
      </c>
      <c r="I4" s="6">
        <v>190.84</v>
      </c>
      <c r="J4" s="6">
        <v>189.61</v>
      </c>
      <c r="K4" s="6">
        <v>194.47</v>
      </c>
      <c r="L4" s="6">
        <v>193.19</v>
      </c>
      <c r="M4" s="6">
        <v>193.15</v>
      </c>
      <c r="N4" s="6">
        <v>195.1</v>
      </c>
      <c r="O4" s="6">
        <v>197.4</v>
      </c>
      <c r="P4" s="6">
        <v>199.32</v>
      </c>
      <c r="Q4" s="6">
        <v>197.51</v>
      </c>
      <c r="R4" s="6">
        <v>197.93</v>
      </c>
      <c r="S4" s="6">
        <v>198.82</v>
      </c>
      <c r="T4" s="6">
        <v>199.79</v>
      </c>
      <c r="U4" s="6">
        <v>198.97</v>
      </c>
      <c r="V4" s="6">
        <v>202</v>
      </c>
      <c r="W4" s="6">
        <v>201.64</v>
      </c>
      <c r="X4" s="6">
        <v>199.7</v>
      </c>
      <c r="Y4" s="6">
        <v>198.82</v>
      </c>
      <c r="Z4" s="6">
        <v>198.71</v>
      </c>
      <c r="AA4" s="6">
        <v>199.36</v>
      </c>
      <c r="AB4" s="6">
        <v>201.05</v>
      </c>
      <c r="AC4" s="6">
        <v>201.34</v>
      </c>
      <c r="AD4" s="6">
        <v>200.87</v>
      </c>
      <c r="AE4" s="6">
        <v>202.26</v>
      </c>
      <c r="AF4" s="6">
        <v>196.75</v>
      </c>
      <c r="AG4" s="6">
        <v>194.11</v>
      </c>
      <c r="AH4" s="6">
        <v>197.92</v>
      </c>
      <c r="AI4" s="6">
        <v>198.39</v>
      </c>
      <c r="AJ4" s="6">
        <v>202.5</v>
      </c>
      <c r="AK4" s="6">
        <v>206.06</v>
      </c>
      <c r="AL4" s="6">
        <v>206.3</v>
      </c>
      <c r="AM4" s="6">
        <v>206.18</v>
      </c>
      <c r="AN4" s="6">
        <v>205.12</v>
      </c>
      <c r="AO4" s="6">
        <v>207.79</v>
      </c>
      <c r="AP4" s="6">
        <v>208.1</v>
      </c>
      <c r="AQ4" s="6">
        <v>204.41</v>
      </c>
      <c r="AR4" s="6">
        <v>205.25</v>
      </c>
      <c r="AS4" s="6">
        <v>209.78</v>
      </c>
      <c r="AT4" s="6">
        <v>208.67</v>
      </c>
      <c r="AU4" s="6">
        <v>212.6</v>
      </c>
      <c r="AV4" s="6">
        <v>213.06</v>
      </c>
      <c r="AW4" s="6">
        <v>215.22</v>
      </c>
      <c r="AX4" s="6">
        <v>218.3</v>
      </c>
      <c r="AY4" s="6">
        <v>218.06</v>
      </c>
      <c r="AZ4" s="6">
        <v>221.91</v>
      </c>
      <c r="BA4" s="6">
        <v>219.06</v>
      </c>
      <c r="BB4" s="6">
        <v>221.15</v>
      </c>
      <c r="BC4" s="6">
        <v>221.77</v>
      </c>
      <c r="BD4" s="6">
        <v>222.14</v>
      </c>
      <c r="BE4" s="6">
        <v>221.44</v>
      </c>
      <c r="BF4" s="6">
        <v>221.32</v>
      </c>
      <c r="BG4" s="6">
        <v>219.76</v>
      </c>
      <c r="BH4" s="6">
        <v>217.94</v>
      </c>
      <c r="BI4" s="6">
        <v>214.87</v>
      </c>
      <c r="BJ4" s="6">
        <v>217.79</v>
      </c>
      <c r="BK4" s="6">
        <v>223.23</v>
      </c>
      <c r="BL4" s="6">
        <v>209.53</v>
      </c>
      <c r="BM4" s="6">
        <v>201.91</v>
      </c>
      <c r="BN4">
        <v>204.19</v>
      </c>
      <c r="BO4">
        <v>209.83</v>
      </c>
      <c r="BP4">
        <v>210.11</v>
      </c>
      <c r="BQ4">
        <v>210.85</v>
      </c>
      <c r="BR4">
        <v>212.33</v>
      </c>
      <c r="BS4">
        <v>213.06</v>
      </c>
      <c r="BT4">
        <v>207.19</v>
      </c>
      <c r="BU4">
        <v>210.76</v>
      </c>
      <c r="BV4">
        <v>213.14</v>
      </c>
      <c r="BW4">
        <v>214.18</v>
      </c>
      <c r="BX4">
        <v>217.8</v>
      </c>
      <c r="BY4">
        <v>217.49</v>
      </c>
      <c r="BZ4">
        <v>214.58</v>
      </c>
      <c r="CA4" s="6">
        <v>210.179993</v>
      </c>
      <c r="CB4" s="6">
        <v>200.720001</v>
      </c>
      <c r="CC4" s="6">
        <v>196.770004</v>
      </c>
      <c r="CD4" s="6">
        <v>197.199997</v>
      </c>
      <c r="CE4" s="6">
        <v>189.75</v>
      </c>
      <c r="CF4" s="6">
        <v>192.470001</v>
      </c>
      <c r="CG4" s="6">
        <v>196.44000199999999</v>
      </c>
      <c r="CH4" s="6">
        <v>185.88999899999999</v>
      </c>
      <c r="CI4" s="6">
        <v>191.759995</v>
      </c>
      <c r="CJ4" s="6">
        <v>185.16999799999999</v>
      </c>
      <c r="CK4" s="6">
        <v>181.08999600000001</v>
      </c>
      <c r="CL4" s="6">
        <v>169.5</v>
      </c>
      <c r="CM4" s="6">
        <v>178.19000199999999</v>
      </c>
      <c r="CN4" s="6">
        <v>170.240005</v>
      </c>
      <c r="CO4" s="6">
        <v>154.470001</v>
      </c>
      <c r="CP4" s="6">
        <v>170.279999</v>
      </c>
      <c r="CQ4" s="6">
        <v>146.009995</v>
      </c>
      <c r="CR4" s="6">
        <v>149.41999799999999</v>
      </c>
      <c r="CS4" s="6">
        <v>146.96000699999999</v>
      </c>
      <c r="CT4" s="6">
        <v>153.13000500000001</v>
      </c>
      <c r="CU4" s="6">
        <v>149.729996</v>
      </c>
      <c r="CV4" s="6">
        <v>148.10000600000001</v>
      </c>
      <c r="CW4" s="6">
        <v>160.979996</v>
      </c>
      <c r="CX4" s="6">
        <v>156.21000699999999</v>
      </c>
      <c r="CY4" s="6">
        <v>163.33999600000001</v>
      </c>
      <c r="CZ4" s="6">
        <v>156.78999300000001</v>
      </c>
      <c r="DA4" s="6">
        <v>165.949997</v>
      </c>
      <c r="DB4" s="6" t="e">
        <f>_xlfn.XLOOKUP(XDC4,Ticker_Symbols!XEE2:XFD52,Ticker_Symbols!A2:A52)</f>
        <v>#VALUE!</v>
      </c>
    </row>
    <row r="5" spans="1:106">
      <c r="A5" s="3" t="s">
        <v>2</v>
      </c>
      <c r="B5">
        <v>154</v>
      </c>
      <c r="C5" s="6">
        <v>72.989999999999995</v>
      </c>
      <c r="D5" s="6">
        <v>73</v>
      </c>
      <c r="E5" s="6">
        <v>71.209999999999994</v>
      </c>
      <c r="F5" s="6">
        <v>68.77</v>
      </c>
      <c r="G5" s="6">
        <v>67.040000000000006</v>
      </c>
      <c r="H5" s="6">
        <v>69.7</v>
      </c>
      <c r="I5" s="6">
        <v>69.08</v>
      </c>
      <c r="J5" s="6">
        <v>68.69</v>
      </c>
      <c r="K5" s="6">
        <v>68.41</v>
      </c>
      <c r="L5" s="6">
        <v>68.7</v>
      </c>
      <c r="M5" s="6">
        <v>69.38</v>
      </c>
      <c r="N5" s="6">
        <v>70.08</v>
      </c>
      <c r="O5" s="6">
        <v>71.09</v>
      </c>
      <c r="P5" s="6">
        <v>71.86</v>
      </c>
      <c r="Q5" s="6">
        <v>70.47</v>
      </c>
      <c r="R5" s="6">
        <v>70.040000000000006</v>
      </c>
      <c r="S5" s="6">
        <v>69.87</v>
      </c>
      <c r="T5" s="6">
        <v>69.28</v>
      </c>
      <c r="U5" s="6">
        <v>70.37</v>
      </c>
      <c r="V5" s="6">
        <v>70.150000000000006</v>
      </c>
      <c r="W5" s="6">
        <v>70.48</v>
      </c>
      <c r="X5" s="6">
        <v>68.42</v>
      </c>
      <c r="Y5" s="6">
        <v>68.260000000000005</v>
      </c>
      <c r="Z5" s="6">
        <v>67.98</v>
      </c>
      <c r="AA5" s="6">
        <v>68.13</v>
      </c>
      <c r="AB5" s="6">
        <v>67.87</v>
      </c>
      <c r="AC5" s="6">
        <v>67.81</v>
      </c>
      <c r="AD5" s="6">
        <v>68.25</v>
      </c>
      <c r="AE5" s="6">
        <v>68.62</v>
      </c>
      <c r="AF5" s="6">
        <v>69.09</v>
      </c>
      <c r="AG5" s="6">
        <v>71.91</v>
      </c>
      <c r="AH5" s="6">
        <v>72.31</v>
      </c>
      <c r="AI5" s="6">
        <v>71.040000000000006</v>
      </c>
      <c r="AJ5" s="6">
        <v>71.239999999999995</v>
      </c>
      <c r="AK5" s="6">
        <v>77.349999999999994</v>
      </c>
      <c r="AL5" s="6">
        <v>79.86</v>
      </c>
      <c r="AM5" s="6">
        <v>80.180000000000007</v>
      </c>
      <c r="AN5" s="6">
        <v>80.94</v>
      </c>
      <c r="AO5" s="6">
        <v>82.51</v>
      </c>
      <c r="AP5" s="6">
        <v>84.03</v>
      </c>
      <c r="AQ5" s="6">
        <v>82.98</v>
      </c>
      <c r="AR5" s="6">
        <v>82.11</v>
      </c>
      <c r="AS5" s="6">
        <v>84.19</v>
      </c>
      <c r="AT5" s="6">
        <v>84.1</v>
      </c>
      <c r="AU5" s="6">
        <v>84.32</v>
      </c>
      <c r="AV5" s="6">
        <v>83.82</v>
      </c>
      <c r="AW5" s="6">
        <v>85.05</v>
      </c>
      <c r="AX5" s="6">
        <v>85.75</v>
      </c>
      <c r="AY5" s="6">
        <v>87.13</v>
      </c>
      <c r="AZ5" s="6">
        <v>89.58</v>
      </c>
      <c r="BA5" s="6">
        <v>89.72</v>
      </c>
      <c r="BB5" s="6">
        <v>91.1</v>
      </c>
      <c r="BC5" s="6">
        <v>92.45</v>
      </c>
      <c r="BD5" s="6">
        <v>91.11</v>
      </c>
      <c r="BE5" s="6">
        <v>89.75</v>
      </c>
      <c r="BF5" s="6">
        <v>89.56</v>
      </c>
      <c r="BG5" s="6">
        <v>88.47</v>
      </c>
      <c r="BH5" s="6">
        <v>85.57</v>
      </c>
      <c r="BI5" s="6">
        <v>84.35</v>
      </c>
      <c r="BJ5" s="6">
        <v>83.96</v>
      </c>
      <c r="BK5" s="6">
        <v>81.03</v>
      </c>
      <c r="BL5" s="6">
        <v>81.05</v>
      </c>
      <c r="BM5" s="6">
        <v>78.22</v>
      </c>
      <c r="BN5">
        <v>80.72</v>
      </c>
      <c r="BO5">
        <v>82.93</v>
      </c>
      <c r="BP5">
        <v>76</v>
      </c>
      <c r="BQ5">
        <v>79.510000000000005</v>
      </c>
      <c r="BR5">
        <v>77.75</v>
      </c>
      <c r="BS5">
        <v>75.81</v>
      </c>
      <c r="BT5">
        <v>74.58</v>
      </c>
      <c r="BU5">
        <v>75.5</v>
      </c>
      <c r="BV5">
        <v>75.209999999999994</v>
      </c>
      <c r="BW5">
        <v>76.5</v>
      </c>
      <c r="BX5">
        <v>76.7</v>
      </c>
      <c r="BY5">
        <v>75.92</v>
      </c>
      <c r="BZ5">
        <v>75.150000000000006</v>
      </c>
      <c r="CA5" s="6">
        <v>73.5</v>
      </c>
      <c r="CB5" s="6">
        <v>70.150002000000001</v>
      </c>
      <c r="CC5" s="6">
        <v>67.75</v>
      </c>
      <c r="CD5" s="6">
        <v>66.040001000000004</v>
      </c>
      <c r="CE5" s="6">
        <v>64.800003000000004</v>
      </c>
      <c r="CF5" s="6">
        <v>65</v>
      </c>
      <c r="CG5" s="6">
        <v>68.139999000000003</v>
      </c>
      <c r="CH5" s="6">
        <v>65.800003000000004</v>
      </c>
      <c r="CI5" s="6">
        <v>68.059997999999993</v>
      </c>
      <c r="CJ5" s="6">
        <v>66.610000999999997</v>
      </c>
      <c r="CK5" s="6">
        <v>65.559997999999993</v>
      </c>
      <c r="CL5" s="6">
        <v>64.040001000000004</v>
      </c>
      <c r="CM5" s="6">
        <v>65.819999999999993</v>
      </c>
      <c r="CN5" s="6">
        <v>63.02</v>
      </c>
      <c r="CO5" s="6">
        <v>57.57</v>
      </c>
      <c r="CP5" s="6">
        <v>60.470001000000003</v>
      </c>
      <c r="CQ5" s="6">
        <v>54.389999000000003</v>
      </c>
      <c r="CR5" s="6">
        <v>57.02</v>
      </c>
      <c r="CS5" s="6">
        <v>52</v>
      </c>
      <c r="CT5" s="6">
        <v>50.759998000000003</v>
      </c>
      <c r="CU5" s="6">
        <v>47.349997999999999</v>
      </c>
      <c r="CV5" s="6">
        <v>48.709999000000003</v>
      </c>
      <c r="CW5" s="6">
        <v>57.860000999999997</v>
      </c>
      <c r="CX5" s="6">
        <v>65.599997999999999</v>
      </c>
      <c r="CY5" s="6">
        <v>63.580002</v>
      </c>
      <c r="CZ5" s="6">
        <v>62.48</v>
      </c>
      <c r="DA5" s="6">
        <v>66.669998000000007</v>
      </c>
      <c r="DB5" s="6">
        <v>66.040001000000004</v>
      </c>
    </row>
    <row r="6" spans="1:106">
      <c r="A6" s="3" t="s">
        <v>3</v>
      </c>
      <c r="B6">
        <v>259</v>
      </c>
      <c r="C6" s="6">
        <v>38.49</v>
      </c>
      <c r="D6" s="6">
        <v>38.950000000000003</v>
      </c>
      <c r="E6" s="6">
        <v>38.89</v>
      </c>
      <c r="F6" s="6">
        <v>39.17</v>
      </c>
      <c r="G6" s="6">
        <v>39.25</v>
      </c>
      <c r="H6" s="6">
        <v>39.42</v>
      </c>
      <c r="I6" s="6">
        <v>39.380000000000003</v>
      </c>
      <c r="J6" s="6">
        <v>39.369999999999997</v>
      </c>
      <c r="K6" s="6">
        <v>39.17</v>
      </c>
      <c r="L6" s="6">
        <v>39.159999999999997</v>
      </c>
      <c r="M6" s="6">
        <v>38.950000000000003</v>
      </c>
      <c r="N6" s="6">
        <v>39.5</v>
      </c>
      <c r="O6" s="6">
        <v>39.630000000000003</v>
      </c>
      <c r="P6" s="6">
        <v>38</v>
      </c>
      <c r="Q6" s="6">
        <v>37.18</v>
      </c>
      <c r="R6" s="6">
        <v>37.6</v>
      </c>
      <c r="S6" s="6">
        <v>37.75</v>
      </c>
      <c r="T6" s="6">
        <v>37.26</v>
      </c>
      <c r="U6" s="6">
        <v>37.4</v>
      </c>
      <c r="V6" s="6">
        <v>37.659999999999997</v>
      </c>
      <c r="W6" s="6">
        <v>37.380000000000003</v>
      </c>
      <c r="X6" s="6">
        <v>37.32</v>
      </c>
      <c r="Y6" s="6">
        <v>37.549999999999997</v>
      </c>
      <c r="Z6" s="6">
        <v>38.1</v>
      </c>
      <c r="AA6" s="6">
        <v>38.19</v>
      </c>
      <c r="AB6" s="6">
        <v>38.200000000000003</v>
      </c>
      <c r="AC6" s="6">
        <v>38.04</v>
      </c>
      <c r="AD6" s="6">
        <v>38.06</v>
      </c>
      <c r="AE6" s="6">
        <v>38.17</v>
      </c>
      <c r="AF6" s="6">
        <v>38.35</v>
      </c>
      <c r="AG6" s="6">
        <v>38.26</v>
      </c>
      <c r="AH6" s="6">
        <v>38.590000000000003</v>
      </c>
      <c r="AI6" s="6">
        <v>38.5</v>
      </c>
      <c r="AJ6" s="6">
        <v>38.74</v>
      </c>
      <c r="AK6" s="6">
        <v>38.93</v>
      </c>
      <c r="AL6" s="6">
        <v>39.15</v>
      </c>
      <c r="AM6" s="6">
        <v>39.07</v>
      </c>
      <c r="AN6" s="6">
        <v>38.96</v>
      </c>
      <c r="AO6" s="6">
        <v>39.159999999999997</v>
      </c>
      <c r="AP6" s="6">
        <v>39.24</v>
      </c>
      <c r="AQ6" s="6">
        <v>39.04</v>
      </c>
      <c r="AR6" s="6">
        <v>39.08</v>
      </c>
      <c r="AS6" s="6">
        <v>38.86</v>
      </c>
      <c r="AT6" s="6">
        <v>39.06</v>
      </c>
      <c r="AU6" s="6">
        <v>39.1</v>
      </c>
      <c r="AV6" s="6">
        <v>39.25</v>
      </c>
      <c r="AW6" s="6">
        <v>39.369999999999997</v>
      </c>
      <c r="AX6" s="6">
        <v>38.799999999999997</v>
      </c>
      <c r="AY6" s="6">
        <v>38.57</v>
      </c>
      <c r="AZ6" s="6">
        <v>38.1</v>
      </c>
      <c r="BA6" s="6">
        <v>38.090000000000003</v>
      </c>
      <c r="BB6" s="6">
        <v>37.869999999999997</v>
      </c>
      <c r="BC6" s="6">
        <v>38.03</v>
      </c>
      <c r="BD6" s="6">
        <v>38.380000000000003</v>
      </c>
      <c r="BE6" s="6">
        <v>38.520000000000003</v>
      </c>
      <c r="BF6" s="6">
        <v>39.04</v>
      </c>
      <c r="BG6" s="6">
        <v>38.630000000000003</v>
      </c>
      <c r="BH6" s="6">
        <v>38.5</v>
      </c>
      <c r="BI6" s="6">
        <v>38.25</v>
      </c>
      <c r="BJ6" s="6">
        <v>38.58</v>
      </c>
      <c r="BK6" s="6">
        <v>37.049999999999997</v>
      </c>
      <c r="BL6" s="6">
        <v>37.43</v>
      </c>
      <c r="BM6" s="6">
        <v>37.619999999999997</v>
      </c>
      <c r="BN6">
        <v>36.96</v>
      </c>
      <c r="BO6">
        <v>37.630000000000003</v>
      </c>
      <c r="BP6">
        <v>37.81</v>
      </c>
      <c r="BQ6">
        <v>38.44</v>
      </c>
      <c r="BR6">
        <v>38.450000000000003</v>
      </c>
      <c r="BS6">
        <v>38.340000000000003</v>
      </c>
      <c r="BT6">
        <v>38.17</v>
      </c>
      <c r="BU6">
        <v>38.04</v>
      </c>
      <c r="BV6">
        <v>38.31</v>
      </c>
      <c r="BW6">
        <v>38.25</v>
      </c>
      <c r="BX6">
        <v>38.26</v>
      </c>
      <c r="BY6">
        <v>38.44</v>
      </c>
      <c r="BZ6">
        <v>38.61</v>
      </c>
      <c r="CA6" s="6">
        <v>38.549999</v>
      </c>
      <c r="CB6" s="6">
        <v>38.049999</v>
      </c>
      <c r="CC6" s="6">
        <v>37.349997999999999</v>
      </c>
      <c r="CD6" s="6">
        <v>37.099997999999999</v>
      </c>
      <c r="CE6" s="6">
        <v>35.729999999999997</v>
      </c>
      <c r="CF6" s="6">
        <v>35.220001000000003</v>
      </c>
      <c r="CG6" s="6">
        <v>37.18</v>
      </c>
      <c r="CH6" s="6">
        <v>36.299999</v>
      </c>
      <c r="CI6" s="6">
        <v>38.18</v>
      </c>
      <c r="CJ6" s="6">
        <v>37.18</v>
      </c>
      <c r="CK6" s="6">
        <v>37.029998999999997</v>
      </c>
      <c r="CL6" s="6">
        <v>34.689999</v>
      </c>
      <c r="CM6" s="6">
        <v>35.849997999999999</v>
      </c>
      <c r="CN6" s="6">
        <v>34.520000000000003</v>
      </c>
      <c r="CO6" s="6">
        <v>31.33</v>
      </c>
      <c r="CP6" s="6">
        <v>34.470001000000003</v>
      </c>
      <c r="CQ6" s="6">
        <v>31.809999000000001</v>
      </c>
      <c r="CR6" s="6">
        <v>33.740001999999997</v>
      </c>
      <c r="CS6" s="6">
        <v>32.849997999999999</v>
      </c>
      <c r="CT6" s="6">
        <v>31.15</v>
      </c>
      <c r="CU6" s="6">
        <v>28.450001</v>
      </c>
      <c r="CV6" s="6">
        <v>26.77</v>
      </c>
      <c r="CW6" s="6">
        <v>28.09</v>
      </c>
      <c r="CX6" s="6">
        <v>28.4</v>
      </c>
      <c r="CY6" s="6">
        <v>30.6</v>
      </c>
      <c r="CZ6" s="6">
        <v>29.84</v>
      </c>
      <c r="DA6" s="6">
        <v>30.23</v>
      </c>
      <c r="DB6" s="6">
        <v>29.15</v>
      </c>
    </row>
    <row r="7" spans="1:106">
      <c r="A7" s="3" t="s">
        <v>4</v>
      </c>
      <c r="B7">
        <v>23</v>
      </c>
      <c r="C7" s="6">
        <v>1258.8</v>
      </c>
      <c r="D7" s="6">
        <v>1272.25</v>
      </c>
      <c r="E7" s="6">
        <v>1289.6099999999999</v>
      </c>
      <c r="F7" s="6">
        <v>1291.44</v>
      </c>
      <c r="G7" s="6">
        <v>1291.01</v>
      </c>
      <c r="H7" s="6">
        <v>1306.94</v>
      </c>
      <c r="I7" s="6">
        <v>1309</v>
      </c>
      <c r="J7" s="6">
        <v>1298.28</v>
      </c>
      <c r="K7" s="6">
        <v>1297.21</v>
      </c>
      <c r="L7" s="6">
        <v>1296.18</v>
      </c>
      <c r="M7" s="6">
        <v>1309.1500000000001</v>
      </c>
      <c r="N7" s="6">
        <v>1333.54</v>
      </c>
      <c r="O7" s="6">
        <v>1319.84</v>
      </c>
      <c r="P7" s="6">
        <v>1312.59</v>
      </c>
      <c r="Q7" s="6">
        <v>1301.8599999999999</v>
      </c>
      <c r="R7" s="6">
        <v>1300.1400000000001</v>
      </c>
      <c r="S7" s="6">
        <v>1293.67</v>
      </c>
      <c r="T7" s="6">
        <v>1305.6400000000001</v>
      </c>
      <c r="U7" s="6">
        <v>1313</v>
      </c>
      <c r="V7" s="6">
        <v>1312.13</v>
      </c>
      <c r="W7" s="6">
        <v>1304.0899999999999</v>
      </c>
      <c r="X7" s="6">
        <v>1288.8599999999999</v>
      </c>
      <c r="Y7" s="6">
        <v>1294.74</v>
      </c>
      <c r="Z7" s="6">
        <v>1318.94</v>
      </c>
      <c r="AA7" s="6">
        <v>1326.96</v>
      </c>
      <c r="AB7" s="6">
        <v>1339.39</v>
      </c>
      <c r="AC7" s="6">
        <v>1342.99</v>
      </c>
      <c r="AD7" s="6">
        <v>1342.89</v>
      </c>
      <c r="AE7" s="6">
        <v>1344.25</v>
      </c>
      <c r="AF7" s="6">
        <v>1348.49</v>
      </c>
      <c r="AG7" s="6">
        <v>1346.87</v>
      </c>
      <c r="AH7" s="6">
        <v>1360.7</v>
      </c>
      <c r="AI7" s="6">
        <v>1354.89</v>
      </c>
      <c r="AJ7" s="6">
        <v>1351.91</v>
      </c>
      <c r="AK7" s="6">
        <v>1356.44</v>
      </c>
      <c r="AL7" s="6">
        <v>1351.22</v>
      </c>
      <c r="AM7" s="6">
        <v>1350.63</v>
      </c>
      <c r="AN7" s="6">
        <v>1344.43</v>
      </c>
      <c r="AO7" s="6">
        <v>1362.47</v>
      </c>
      <c r="AP7" s="6">
        <v>1354.64</v>
      </c>
      <c r="AQ7" s="6">
        <v>1339.71</v>
      </c>
      <c r="AR7" s="6">
        <v>1339.39</v>
      </c>
      <c r="AS7" s="6">
        <v>1368.68</v>
      </c>
      <c r="AT7" s="6">
        <v>1361.52</v>
      </c>
      <c r="AU7" s="6">
        <v>1397.81</v>
      </c>
      <c r="AV7" s="6">
        <v>1395.11</v>
      </c>
      <c r="AW7" s="6">
        <v>1405.04</v>
      </c>
      <c r="AX7" s="6">
        <v>1419.79</v>
      </c>
      <c r="AY7" s="6">
        <v>1428.96</v>
      </c>
      <c r="AZ7" s="6">
        <v>1440.03</v>
      </c>
      <c r="BA7" s="6">
        <v>1430.59</v>
      </c>
      <c r="BB7" s="6">
        <v>1439.2</v>
      </c>
      <c r="BC7" s="6">
        <v>1450.16</v>
      </c>
      <c r="BD7" s="6">
        <v>1479.52</v>
      </c>
      <c r="BE7" s="6">
        <v>1482.25</v>
      </c>
      <c r="BF7" s="6">
        <v>1484.17</v>
      </c>
      <c r="BG7" s="6">
        <v>1484.69</v>
      </c>
      <c r="BH7" s="6">
        <v>1466.17</v>
      </c>
      <c r="BI7" s="6">
        <v>1431.73</v>
      </c>
      <c r="BJ7" s="6">
        <v>1450.5</v>
      </c>
      <c r="BK7" s="6">
        <v>1456.7</v>
      </c>
      <c r="BL7" s="6">
        <v>1454.25</v>
      </c>
      <c r="BM7" s="6">
        <v>1432.78</v>
      </c>
      <c r="BN7">
        <v>1482.6</v>
      </c>
      <c r="BO7">
        <v>1445.41</v>
      </c>
      <c r="BP7">
        <v>1446.05</v>
      </c>
      <c r="BQ7">
        <v>1475.97</v>
      </c>
      <c r="BR7">
        <v>1479.11</v>
      </c>
      <c r="BS7">
        <v>1508.66</v>
      </c>
      <c r="BT7">
        <v>1510.06</v>
      </c>
      <c r="BU7">
        <v>1518.63</v>
      </c>
      <c r="BV7">
        <v>1513.39</v>
      </c>
      <c r="BW7">
        <v>1518.73</v>
      </c>
      <c r="BX7">
        <v>1519.44</v>
      </c>
      <c r="BY7">
        <v>1524.87</v>
      </c>
      <c r="BZ7">
        <v>1516.99</v>
      </c>
      <c r="CA7" s="6">
        <v>1483.459961</v>
      </c>
      <c r="CB7" s="6">
        <v>1419.8599850000001</v>
      </c>
      <c r="CC7" s="6">
        <v>1386.3199460000001</v>
      </c>
      <c r="CD7" s="6">
        <v>1390.469971</v>
      </c>
      <c r="CE7" s="6">
        <v>1314.9499510000001</v>
      </c>
      <c r="CF7" s="6">
        <v>1339.25</v>
      </c>
      <c r="CG7" s="6">
        <v>1386.3199460000001</v>
      </c>
      <c r="CH7" s="6">
        <v>1337.719971</v>
      </c>
      <c r="CI7" s="6">
        <v>1381.599976</v>
      </c>
      <c r="CJ7" s="6">
        <v>1314.76001</v>
      </c>
      <c r="CK7" s="6">
        <v>1295.73999</v>
      </c>
      <c r="CL7" s="6">
        <v>1215.790039</v>
      </c>
      <c r="CM7" s="6">
        <v>1275.170044</v>
      </c>
      <c r="CN7" s="6">
        <v>1210.900024</v>
      </c>
      <c r="CO7" s="6">
        <v>1111.5500489999999</v>
      </c>
      <c r="CP7" s="6">
        <v>1214.2700199999999</v>
      </c>
      <c r="CQ7" s="6">
        <v>1073</v>
      </c>
      <c r="CR7" s="6">
        <v>1118.0600589999999</v>
      </c>
      <c r="CS7" s="6">
        <v>1091.1899410000001</v>
      </c>
      <c r="CT7" s="6">
        <v>1111.670044</v>
      </c>
      <c r="CU7" s="6">
        <v>1068.209961</v>
      </c>
      <c r="CV7" s="6">
        <v>1054.130005</v>
      </c>
      <c r="CW7" s="6">
        <v>1130.01001</v>
      </c>
      <c r="CX7" s="6">
        <v>1101.619995</v>
      </c>
      <c r="CY7" s="6">
        <v>1162.920044</v>
      </c>
      <c r="CZ7" s="6">
        <v>1110.26001</v>
      </c>
      <c r="DA7" s="6">
        <v>1146.3100589999999</v>
      </c>
      <c r="DB7" s="6">
        <v>1161.9499510000001</v>
      </c>
    </row>
    <row r="8" spans="1:106">
      <c r="A8" s="3" t="s">
        <v>5</v>
      </c>
      <c r="B8">
        <v>115</v>
      </c>
      <c r="C8" s="6">
        <v>129.91999999999999</v>
      </c>
      <c r="D8" s="6">
        <v>132.75</v>
      </c>
      <c r="E8" s="6">
        <v>132.91999999999999</v>
      </c>
      <c r="F8" s="6">
        <v>131.44999999999999</v>
      </c>
      <c r="G8" s="6">
        <v>131.27000000000001</v>
      </c>
      <c r="H8" s="6">
        <v>132.96</v>
      </c>
      <c r="I8" s="6">
        <v>137.96</v>
      </c>
      <c r="J8" s="6">
        <v>136.74</v>
      </c>
      <c r="K8" s="6">
        <v>138.58000000000001</v>
      </c>
      <c r="L8" s="6">
        <v>148.72</v>
      </c>
      <c r="M8" s="6">
        <v>147.15</v>
      </c>
      <c r="N8" s="6">
        <v>144.66999999999999</v>
      </c>
      <c r="O8" s="6">
        <v>147.65</v>
      </c>
      <c r="P8" s="6">
        <v>148.38</v>
      </c>
      <c r="Q8" s="6">
        <v>146.93</v>
      </c>
      <c r="R8" s="6">
        <v>146.9</v>
      </c>
      <c r="S8" s="6">
        <v>148.29</v>
      </c>
      <c r="T8" s="6">
        <v>149.69</v>
      </c>
      <c r="U8" s="6">
        <v>151.63999999999999</v>
      </c>
      <c r="V8" s="6">
        <v>151.47999999999999</v>
      </c>
      <c r="W8" s="6">
        <v>151.58000000000001</v>
      </c>
      <c r="X8" s="6">
        <v>150.62</v>
      </c>
      <c r="Y8" s="6">
        <v>148.58000000000001</v>
      </c>
      <c r="Z8" s="6">
        <v>148.28</v>
      </c>
      <c r="AA8" s="6">
        <v>147.44</v>
      </c>
      <c r="AB8" s="6">
        <v>147.66</v>
      </c>
      <c r="AC8" s="6">
        <v>146.21</v>
      </c>
      <c r="AD8" s="6">
        <v>146.1</v>
      </c>
      <c r="AE8" s="6">
        <v>147.59</v>
      </c>
      <c r="AF8" s="6">
        <v>147.76</v>
      </c>
      <c r="AG8" s="6">
        <v>146.38</v>
      </c>
      <c r="AH8" s="6">
        <v>148.46</v>
      </c>
      <c r="AI8" s="6">
        <v>147.72999999999999</v>
      </c>
      <c r="AJ8" s="6">
        <v>146.26</v>
      </c>
      <c r="AK8" s="6">
        <v>146.15</v>
      </c>
      <c r="AL8" s="6">
        <v>146.88</v>
      </c>
      <c r="AM8" s="6">
        <v>144.68</v>
      </c>
      <c r="AN8" s="6">
        <v>145.29</v>
      </c>
      <c r="AO8" s="6">
        <v>145.69999999999999</v>
      </c>
      <c r="AP8" s="6">
        <v>145.75</v>
      </c>
      <c r="AQ8" s="6">
        <v>143.77000000000001</v>
      </c>
      <c r="AR8" s="6">
        <v>144.63</v>
      </c>
      <c r="AS8" s="6">
        <v>148.19999999999999</v>
      </c>
      <c r="AT8" s="6">
        <v>146.5</v>
      </c>
      <c r="AU8" s="6">
        <v>145.65</v>
      </c>
      <c r="AV8" s="6">
        <v>145.69999999999999</v>
      </c>
      <c r="AW8" s="6">
        <v>145.4</v>
      </c>
      <c r="AX8" s="6">
        <v>144.83000000000001</v>
      </c>
      <c r="AY8" s="6">
        <v>144.62</v>
      </c>
      <c r="AZ8" s="6">
        <v>143.88</v>
      </c>
      <c r="BA8" s="6">
        <v>145.19999999999999</v>
      </c>
      <c r="BB8" s="6">
        <v>144.32</v>
      </c>
      <c r="BC8" s="6">
        <v>145.12</v>
      </c>
      <c r="BD8" s="6">
        <v>144.33000000000001</v>
      </c>
      <c r="BE8" s="6">
        <v>143.56</v>
      </c>
      <c r="BF8" s="6">
        <v>144.01</v>
      </c>
      <c r="BG8" s="6">
        <v>142.19999999999999</v>
      </c>
      <c r="BH8" s="6">
        <v>140.08000000000001</v>
      </c>
      <c r="BI8" s="6">
        <v>135.9</v>
      </c>
      <c r="BJ8" s="6">
        <v>138.37</v>
      </c>
      <c r="BK8" s="6">
        <v>136.06</v>
      </c>
      <c r="BL8" s="6">
        <v>137.81</v>
      </c>
      <c r="BM8" s="6">
        <v>138.31</v>
      </c>
      <c r="BN8">
        <v>141.32</v>
      </c>
      <c r="BO8">
        <v>144.72999999999999</v>
      </c>
      <c r="BP8">
        <v>141.37</v>
      </c>
      <c r="BQ8">
        <v>142.69999999999999</v>
      </c>
      <c r="BR8">
        <v>141.02000000000001</v>
      </c>
      <c r="BS8">
        <v>142.59</v>
      </c>
      <c r="BT8">
        <v>141.01</v>
      </c>
      <c r="BU8">
        <v>141.85</v>
      </c>
      <c r="BV8">
        <v>140.9</v>
      </c>
      <c r="BW8">
        <v>139.54</v>
      </c>
      <c r="BX8">
        <v>139.13999999999999</v>
      </c>
      <c r="BY8">
        <v>141.30000000000001</v>
      </c>
      <c r="BZ8">
        <v>140.37</v>
      </c>
      <c r="CA8" s="6">
        <v>138.970001</v>
      </c>
      <c r="CB8" s="6">
        <v>133.009995</v>
      </c>
      <c r="CC8" s="6">
        <v>128.19000199999999</v>
      </c>
      <c r="CD8" s="6">
        <v>123.360001</v>
      </c>
      <c r="CE8" s="6">
        <v>118.040001</v>
      </c>
      <c r="CF8" s="6">
        <v>117.650002</v>
      </c>
      <c r="CG8" s="6">
        <v>119.980003</v>
      </c>
      <c r="CH8" s="6">
        <v>116.449997</v>
      </c>
      <c r="CI8" s="6">
        <v>119.18</v>
      </c>
      <c r="CJ8" s="6">
        <v>113.980003</v>
      </c>
      <c r="CK8" s="6">
        <v>115.269997</v>
      </c>
      <c r="CL8" s="6">
        <v>104.349998</v>
      </c>
      <c r="CM8" s="6">
        <v>111.459999</v>
      </c>
      <c r="CN8" s="6">
        <v>105.510002</v>
      </c>
      <c r="CO8" s="6">
        <v>91.809997999999993</v>
      </c>
      <c r="CP8" s="6">
        <v>102.519997</v>
      </c>
      <c r="CQ8" s="6">
        <v>95.010002</v>
      </c>
      <c r="CR8" s="6">
        <v>93.529999000000004</v>
      </c>
      <c r="CS8" s="6">
        <v>88.800003000000004</v>
      </c>
      <c r="CT8" s="6">
        <v>94.93</v>
      </c>
      <c r="CU8" s="6">
        <v>85.980002999999996</v>
      </c>
      <c r="CV8" s="6">
        <v>85.760002</v>
      </c>
      <c r="CW8" s="6">
        <v>98.120002999999997</v>
      </c>
      <c r="CX8" s="6">
        <v>100.730003</v>
      </c>
      <c r="CY8" s="6">
        <v>105.360001</v>
      </c>
      <c r="CZ8" s="6">
        <v>96.400002000000001</v>
      </c>
      <c r="DA8" s="6">
        <v>99.800003000000004</v>
      </c>
      <c r="DB8" s="6">
        <v>96.599997999999999</v>
      </c>
    </row>
    <row r="9" spans="1:106">
      <c r="A9" s="3" t="s">
        <v>6</v>
      </c>
      <c r="B9">
        <v>267</v>
      </c>
      <c r="C9" s="6">
        <v>56.03</v>
      </c>
      <c r="D9" s="6">
        <v>55.82</v>
      </c>
      <c r="E9" s="6">
        <v>55.71</v>
      </c>
      <c r="F9" s="6">
        <v>55.54</v>
      </c>
      <c r="G9" s="6">
        <v>56.36</v>
      </c>
      <c r="H9" s="6">
        <v>54.55</v>
      </c>
      <c r="I9" s="6">
        <v>54.3</v>
      </c>
      <c r="J9" s="6">
        <v>52.52</v>
      </c>
      <c r="K9" s="6">
        <v>51.95</v>
      </c>
      <c r="L9" s="6">
        <v>52.33</v>
      </c>
      <c r="M9" s="6">
        <v>52.7</v>
      </c>
      <c r="N9" s="6">
        <v>53.44</v>
      </c>
      <c r="O9" s="6">
        <v>52.73</v>
      </c>
      <c r="P9" s="6">
        <v>53.28</v>
      </c>
      <c r="Q9" s="6">
        <v>54.085000000000001</v>
      </c>
      <c r="R9" s="6">
        <v>53.69</v>
      </c>
      <c r="S9" s="6">
        <v>53.04</v>
      </c>
      <c r="T9" s="6">
        <v>53.73</v>
      </c>
      <c r="U9" s="6">
        <v>54.17</v>
      </c>
      <c r="V9" s="6">
        <v>54.48</v>
      </c>
      <c r="W9" s="6">
        <v>54.83</v>
      </c>
      <c r="X9" s="6">
        <v>54.23</v>
      </c>
      <c r="Y9" s="6">
        <v>54.59</v>
      </c>
      <c r="Z9" s="6">
        <v>53.88</v>
      </c>
      <c r="AA9" s="6">
        <v>54.99</v>
      </c>
      <c r="AB9" s="6">
        <v>55.21</v>
      </c>
      <c r="AC9" s="6">
        <v>54.39</v>
      </c>
      <c r="AD9" s="6">
        <v>55.94</v>
      </c>
      <c r="AE9" s="6">
        <v>56.48</v>
      </c>
      <c r="AF9" s="6">
        <v>58.56</v>
      </c>
      <c r="AG9" s="6">
        <v>58.65</v>
      </c>
      <c r="AH9" s="6">
        <v>58.61</v>
      </c>
      <c r="AI9" s="6">
        <v>58.26</v>
      </c>
      <c r="AJ9" s="6">
        <v>59.02</v>
      </c>
      <c r="AK9" s="6">
        <v>59.13</v>
      </c>
      <c r="AL9" s="6">
        <v>59.22</v>
      </c>
      <c r="AM9" s="6">
        <v>58.89</v>
      </c>
      <c r="AN9" s="6">
        <v>58.81</v>
      </c>
      <c r="AO9" s="6">
        <v>58.89</v>
      </c>
      <c r="AP9" s="6">
        <v>59.185000000000002</v>
      </c>
      <c r="AQ9" s="6">
        <v>58.88</v>
      </c>
      <c r="AR9" s="6">
        <v>59.42</v>
      </c>
      <c r="AS9" s="6">
        <v>58.65</v>
      </c>
      <c r="AT9" s="6">
        <v>58.67</v>
      </c>
      <c r="AU9" s="6">
        <v>59.74</v>
      </c>
      <c r="AV9" s="6">
        <v>60.335000000000001</v>
      </c>
      <c r="AW9" s="6">
        <v>59.88</v>
      </c>
      <c r="AX9" s="6">
        <v>59.34</v>
      </c>
      <c r="AY9" s="6">
        <v>58.95</v>
      </c>
      <c r="AZ9" s="6">
        <v>59.24</v>
      </c>
      <c r="BA9" s="6">
        <v>60.05</v>
      </c>
      <c r="BB9" s="6">
        <v>59.64</v>
      </c>
      <c r="BC9" s="6">
        <v>60.43</v>
      </c>
      <c r="BD9" s="6">
        <v>61.24</v>
      </c>
      <c r="BE9" s="6">
        <v>61.42</v>
      </c>
      <c r="BF9" s="6">
        <v>60.32</v>
      </c>
      <c r="BG9" s="6">
        <v>60.13</v>
      </c>
      <c r="BH9" s="6">
        <v>59.4</v>
      </c>
      <c r="BI9" s="6">
        <v>58.32</v>
      </c>
      <c r="BJ9" s="6">
        <v>60.03</v>
      </c>
      <c r="BK9" s="6">
        <v>60.4</v>
      </c>
      <c r="BL9" s="6">
        <v>60.89</v>
      </c>
      <c r="BM9" s="6">
        <v>58.48</v>
      </c>
      <c r="BN9">
        <v>58.21</v>
      </c>
      <c r="BO9">
        <v>59.21</v>
      </c>
      <c r="BP9">
        <v>58.85</v>
      </c>
      <c r="BQ9">
        <v>60.26</v>
      </c>
      <c r="BR9">
        <v>61.53</v>
      </c>
      <c r="BS9">
        <v>61.63</v>
      </c>
      <c r="BT9">
        <v>61.19</v>
      </c>
      <c r="BU9">
        <v>62.8</v>
      </c>
      <c r="BV9">
        <v>62.59</v>
      </c>
      <c r="BW9">
        <v>63.52</v>
      </c>
      <c r="BX9">
        <v>63.74</v>
      </c>
      <c r="BY9">
        <v>64.37</v>
      </c>
      <c r="BZ9">
        <v>64</v>
      </c>
      <c r="CA9" s="6">
        <v>63.380001</v>
      </c>
      <c r="CB9" s="6">
        <v>62.310001</v>
      </c>
      <c r="CC9" s="6">
        <v>59.509998000000003</v>
      </c>
      <c r="CD9" s="6">
        <v>59.369999</v>
      </c>
      <c r="CE9" s="6">
        <v>58.330002</v>
      </c>
      <c r="CF9" s="6">
        <v>58.130001</v>
      </c>
      <c r="CG9" s="6">
        <v>60.59</v>
      </c>
      <c r="CH9" s="6">
        <v>58.75</v>
      </c>
      <c r="CI9" s="6">
        <v>62.549999</v>
      </c>
      <c r="CJ9" s="6">
        <v>61.52</v>
      </c>
      <c r="CK9" s="6">
        <v>59.970001000000003</v>
      </c>
      <c r="CL9" s="6">
        <v>57.349997999999999</v>
      </c>
      <c r="CM9" s="6">
        <v>60.709999000000003</v>
      </c>
      <c r="CN9" s="6">
        <v>59.330002</v>
      </c>
      <c r="CO9" s="6">
        <v>54.560001</v>
      </c>
      <c r="CP9" s="6">
        <v>59.040000999999997</v>
      </c>
      <c r="CQ9" s="6">
        <v>52.759998000000003</v>
      </c>
      <c r="CR9" s="6">
        <v>56.16</v>
      </c>
      <c r="CS9" s="6">
        <v>55.59</v>
      </c>
      <c r="CT9" s="6">
        <v>54.130001</v>
      </c>
      <c r="CU9" s="6">
        <v>52.049999</v>
      </c>
      <c r="CV9" s="6">
        <v>56.470001000000003</v>
      </c>
      <c r="CW9" s="6">
        <v>54.43</v>
      </c>
      <c r="CX9" s="6">
        <v>52.869999</v>
      </c>
      <c r="CY9" s="6">
        <v>57.720001000000003</v>
      </c>
      <c r="CZ9" s="6">
        <v>56.959999000000003</v>
      </c>
      <c r="DA9" s="6">
        <v>58.470001000000003</v>
      </c>
      <c r="DB9" s="6">
        <v>59.48</v>
      </c>
    </row>
    <row r="10" spans="1:106">
      <c r="A10" s="2" t="s">
        <v>7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</row>
    <row r="11" spans="1:106">
      <c r="A11" s="3" t="s">
        <v>8</v>
      </c>
      <c r="B11">
        <v>17</v>
      </c>
      <c r="C11" s="6">
        <v>1776.66</v>
      </c>
      <c r="D11" s="6">
        <v>1791.44</v>
      </c>
      <c r="E11" s="6">
        <v>1804.66</v>
      </c>
      <c r="F11" s="6">
        <v>1801.71</v>
      </c>
      <c r="G11" s="6">
        <v>1795.77</v>
      </c>
      <c r="H11" s="6">
        <v>1788.2</v>
      </c>
      <c r="I11" s="6">
        <v>1785.88</v>
      </c>
      <c r="J11" s="6">
        <v>1771.65</v>
      </c>
      <c r="K11" s="6">
        <v>1778</v>
      </c>
      <c r="L11" s="6">
        <v>1753.11</v>
      </c>
      <c r="M11" s="6">
        <v>1754.6</v>
      </c>
      <c r="N11" s="6">
        <v>1739.49</v>
      </c>
      <c r="O11" s="6">
        <v>1752.53</v>
      </c>
      <c r="P11" s="6">
        <v>1752.79</v>
      </c>
      <c r="Q11" s="6">
        <v>1745.53</v>
      </c>
      <c r="R11" s="6">
        <v>1734.71</v>
      </c>
      <c r="S11" s="6">
        <v>1745.72</v>
      </c>
      <c r="T11" s="6">
        <v>1773.84</v>
      </c>
      <c r="U11" s="6">
        <v>1796.94</v>
      </c>
      <c r="V11" s="6">
        <v>1818.51</v>
      </c>
      <c r="W11" s="6">
        <v>1800.8</v>
      </c>
      <c r="X11" s="6">
        <v>1781.6</v>
      </c>
      <c r="Y11" s="6">
        <v>1769.96</v>
      </c>
      <c r="Z11" s="6">
        <v>1760.69</v>
      </c>
      <c r="AA11" s="6">
        <v>1740.48</v>
      </c>
      <c r="AB11" s="6">
        <v>1751.6</v>
      </c>
      <c r="AC11" s="6">
        <v>1749.51</v>
      </c>
      <c r="AD11" s="6">
        <v>1739.21</v>
      </c>
      <c r="AE11" s="6">
        <v>1748.72</v>
      </c>
      <c r="AF11" s="6">
        <v>1760.33</v>
      </c>
      <c r="AG11" s="6">
        <v>1760.94</v>
      </c>
      <c r="AH11" s="6">
        <v>1769.21</v>
      </c>
      <c r="AI11" s="6">
        <v>1790.66</v>
      </c>
      <c r="AJ11" s="6">
        <v>1784.03</v>
      </c>
      <c r="AK11" s="6">
        <v>1792.28</v>
      </c>
      <c r="AL11" s="6">
        <v>1786.5</v>
      </c>
      <c r="AM11" s="6">
        <v>1793</v>
      </c>
      <c r="AN11" s="6">
        <v>1789.21</v>
      </c>
      <c r="AO11" s="6">
        <v>1868.77</v>
      </c>
      <c r="AP11" s="6">
        <v>1869.8</v>
      </c>
      <c r="AQ11" s="6">
        <v>1846.89</v>
      </c>
      <c r="AR11" s="6">
        <v>1847.84</v>
      </c>
      <c r="AS11" s="6">
        <v>1898.01</v>
      </c>
      <c r="AT11" s="6">
        <v>1874.97</v>
      </c>
      <c r="AU11" s="6">
        <v>1902.88</v>
      </c>
      <c r="AV11" s="6">
        <v>1906.86</v>
      </c>
      <c r="AW11" s="6">
        <v>1891.97</v>
      </c>
      <c r="AX11" s="6">
        <v>1901.05</v>
      </c>
      <c r="AY11" s="6">
        <v>1883.16</v>
      </c>
      <c r="AZ11" s="6">
        <v>1891.3</v>
      </c>
      <c r="BA11" s="6">
        <v>1869.44</v>
      </c>
      <c r="BB11" s="6">
        <v>1862.02</v>
      </c>
      <c r="BC11" s="6">
        <v>1877.94</v>
      </c>
      <c r="BD11" s="6">
        <v>1864.72</v>
      </c>
      <c r="BE11" s="6">
        <v>1892</v>
      </c>
      <c r="BF11" s="6">
        <v>1887.46</v>
      </c>
      <c r="BG11" s="6">
        <v>1884.58</v>
      </c>
      <c r="BH11" s="6">
        <v>1861.64</v>
      </c>
      <c r="BI11" s="6">
        <v>1828.34</v>
      </c>
      <c r="BJ11" s="6">
        <v>1853.25</v>
      </c>
      <c r="BK11" s="6">
        <v>1858</v>
      </c>
      <c r="BL11" s="6">
        <v>1870.68</v>
      </c>
      <c r="BM11" s="6">
        <v>2008.72</v>
      </c>
      <c r="BN11">
        <v>2004.2</v>
      </c>
      <c r="BO11">
        <v>2049.67</v>
      </c>
      <c r="BP11">
        <v>2039.87</v>
      </c>
      <c r="BQ11">
        <v>2050.23</v>
      </c>
      <c r="BR11">
        <v>2079.2800000000002</v>
      </c>
      <c r="BS11">
        <v>2133.91</v>
      </c>
      <c r="BT11">
        <v>2150.8000000000002</v>
      </c>
      <c r="BU11">
        <v>2160</v>
      </c>
      <c r="BV11">
        <v>2149.87</v>
      </c>
      <c r="BW11">
        <v>2134.87</v>
      </c>
      <c r="BX11">
        <v>2155.67</v>
      </c>
      <c r="BY11">
        <v>2170.2199999999998</v>
      </c>
      <c r="BZ11">
        <v>2153.1</v>
      </c>
      <c r="CA11" s="6">
        <v>2095.969971</v>
      </c>
      <c r="CB11" s="6">
        <v>2009.290039</v>
      </c>
      <c r="CC11" s="6">
        <v>1972.73999</v>
      </c>
      <c r="CD11" s="6">
        <v>1979.589966</v>
      </c>
      <c r="CE11" s="6">
        <v>1884.3000489999999</v>
      </c>
      <c r="CF11" s="6">
        <v>1883.75</v>
      </c>
      <c r="CG11" s="6">
        <v>1953.9499510000001</v>
      </c>
      <c r="CH11" s="6">
        <v>1908.98999</v>
      </c>
      <c r="CI11" s="6">
        <v>1975.829956</v>
      </c>
      <c r="CJ11" s="6">
        <v>1924.030029</v>
      </c>
      <c r="CK11" s="6">
        <v>1901.089966</v>
      </c>
      <c r="CL11" s="6">
        <v>1800.6099850000001</v>
      </c>
      <c r="CM11" s="6">
        <v>1891.8199460000001</v>
      </c>
      <c r="CN11" s="6">
        <v>1820.8599850000001</v>
      </c>
      <c r="CO11" s="6">
        <v>1676.6099850000001</v>
      </c>
      <c r="CP11" s="6">
        <v>1785</v>
      </c>
      <c r="CQ11" s="6">
        <v>1689.150024</v>
      </c>
      <c r="CR11" s="6">
        <v>1807.839966</v>
      </c>
      <c r="CS11" s="6">
        <v>1830</v>
      </c>
      <c r="CT11" s="6">
        <v>1880.9300539999999</v>
      </c>
      <c r="CU11" s="6">
        <v>1846.089966</v>
      </c>
      <c r="CV11" s="6">
        <v>1902.829956</v>
      </c>
      <c r="CW11" s="6">
        <v>1940.099976</v>
      </c>
      <c r="CX11" s="6">
        <v>1885.839966</v>
      </c>
      <c r="CY11" s="6">
        <v>1955.48999</v>
      </c>
      <c r="CZ11" s="6">
        <v>1900.099976</v>
      </c>
      <c r="DA11" s="6">
        <v>1963.9499510000001</v>
      </c>
      <c r="DB11" s="6">
        <v>1949.719971</v>
      </c>
    </row>
    <row r="12" spans="1:106">
      <c r="A12" s="3" t="s">
        <v>9</v>
      </c>
      <c r="B12">
        <v>101</v>
      </c>
      <c r="C12" s="6">
        <v>196.7</v>
      </c>
      <c r="D12" s="6">
        <v>193.94</v>
      </c>
      <c r="E12" s="6">
        <v>188.66</v>
      </c>
      <c r="F12" s="6">
        <v>192.18</v>
      </c>
      <c r="G12" s="6">
        <v>194.18</v>
      </c>
      <c r="H12" s="6">
        <v>193.08</v>
      </c>
      <c r="I12" s="6">
        <v>193.61</v>
      </c>
      <c r="J12" s="6">
        <v>192.64</v>
      </c>
      <c r="K12" s="6">
        <v>193.28</v>
      </c>
      <c r="L12" s="6">
        <v>195</v>
      </c>
      <c r="M12" s="6">
        <v>194</v>
      </c>
      <c r="N12" s="6">
        <v>193.97</v>
      </c>
      <c r="O12" s="6">
        <v>194.28</v>
      </c>
      <c r="P12" s="6">
        <v>193.44</v>
      </c>
      <c r="Q12" s="6">
        <v>194.13</v>
      </c>
      <c r="R12" s="6">
        <v>192.35</v>
      </c>
      <c r="S12" s="6">
        <v>193.14</v>
      </c>
      <c r="T12" s="6">
        <v>191.89</v>
      </c>
      <c r="U12" s="6">
        <v>194.01</v>
      </c>
      <c r="V12" s="6">
        <v>196.3</v>
      </c>
      <c r="W12" s="6">
        <v>194.48</v>
      </c>
      <c r="X12" s="6">
        <v>195.18</v>
      </c>
      <c r="Y12" s="6">
        <v>193.12</v>
      </c>
      <c r="Z12" s="6">
        <v>194.31</v>
      </c>
      <c r="AA12" s="6">
        <v>194.21</v>
      </c>
      <c r="AB12" s="6">
        <v>195.35</v>
      </c>
      <c r="AC12" s="6">
        <v>194.68</v>
      </c>
      <c r="AD12" s="6">
        <v>194.95</v>
      </c>
      <c r="AE12" s="6">
        <v>194.72</v>
      </c>
      <c r="AF12" s="6">
        <v>196.31</v>
      </c>
      <c r="AG12" s="6">
        <v>197.12</v>
      </c>
      <c r="AH12" s="6">
        <v>197.88</v>
      </c>
      <c r="AI12" s="6">
        <v>196.52</v>
      </c>
      <c r="AJ12" s="6">
        <v>195.63</v>
      </c>
      <c r="AK12" s="6">
        <v>197.06</v>
      </c>
      <c r="AL12" s="6">
        <v>197.14</v>
      </c>
      <c r="AM12" s="6">
        <v>196.2</v>
      </c>
      <c r="AN12" s="6">
        <v>196.67</v>
      </c>
      <c r="AO12" s="6">
        <v>197.06</v>
      </c>
      <c r="AP12" s="6">
        <v>198.17</v>
      </c>
      <c r="AQ12" s="6">
        <v>196.91</v>
      </c>
      <c r="AR12" s="6">
        <v>197.61</v>
      </c>
      <c r="AS12" s="6">
        <v>200.79</v>
      </c>
      <c r="AT12" s="6">
        <v>200.08</v>
      </c>
      <c r="AU12" s="6">
        <v>202.33</v>
      </c>
      <c r="AV12" s="6">
        <v>202.63</v>
      </c>
      <c r="AW12" s="6">
        <v>205.91</v>
      </c>
      <c r="AX12" s="6">
        <v>208.35</v>
      </c>
      <c r="AY12" s="6">
        <v>207.27</v>
      </c>
      <c r="AZ12" s="6">
        <v>206.51</v>
      </c>
      <c r="BA12" s="6">
        <v>207.32</v>
      </c>
      <c r="BB12" s="6">
        <v>209.77</v>
      </c>
      <c r="BC12" s="6">
        <v>210.85</v>
      </c>
      <c r="BD12" s="6">
        <v>211.98</v>
      </c>
      <c r="BE12" s="6">
        <v>211.16</v>
      </c>
      <c r="BF12" s="6">
        <v>211.44</v>
      </c>
      <c r="BG12" s="6">
        <v>213.42</v>
      </c>
      <c r="BH12" s="6">
        <v>211.24</v>
      </c>
      <c r="BI12" s="6">
        <v>209.34</v>
      </c>
      <c r="BJ12" s="6">
        <v>210.39</v>
      </c>
      <c r="BK12" s="6">
        <v>214.44</v>
      </c>
      <c r="BL12" s="6">
        <v>216.18</v>
      </c>
      <c r="BM12" s="6">
        <v>213.97</v>
      </c>
      <c r="BN12">
        <v>215.18</v>
      </c>
      <c r="BO12">
        <v>214.62</v>
      </c>
      <c r="BP12">
        <v>214.37</v>
      </c>
      <c r="BQ12">
        <v>212.87</v>
      </c>
      <c r="BR12">
        <v>211.61</v>
      </c>
      <c r="BS12">
        <v>213.21</v>
      </c>
      <c r="BT12">
        <v>215.73</v>
      </c>
      <c r="BU12">
        <v>217.46</v>
      </c>
      <c r="BV12">
        <v>217.42</v>
      </c>
      <c r="BW12">
        <v>217.09</v>
      </c>
      <c r="BX12">
        <v>216.15</v>
      </c>
      <c r="BY12">
        <v>215.63</v>
      </c>
      <c r="BZ12">
        <v>215.08</v>
      </c>
      <c r="CA12" s="6">
        <v>214.527512</v>
      </c>
      <c r="CB12" s="6">
        <v>212.192139</v>
      </c>
      <c r="CC12" s="6">
        <v>210.78097500000001</v>
      </c>
      <c r="CD12" s="6">
        <v>208.79341099999999</v>
      </c>
      <c r="CE12" s="6">
        <v>199.75</v>
      </c>
      <c r="CF12" s="6">
        <v>194.16999799999999</v>
      </c>
      <c r="CG12" s="6">
        <v>202.550003</v>
      </c>
      <c r="CH12" s="6">
        <v>199.509995</v>
      </c>
      <c r="CI12" s="6">
        <v>207.020004</v>
      </c>
      <c r="CJ12" s="6">
        <v>198.320007</v>
      </c>
      <c r="CK12" s="6">
        <v>198.86000100000001</v>
      </c>
      <c r="CL12" s="6">
        <v>186.86000100000001</v>
      </c>
      <c r="CM12" s="6">
        <v>199.86000100000001</v>
      </c>
      <c r="CN12" s="6">
        <v>188.25</v>
      </c>
      <c r="CO12" s="6">
        <v>170.13000500000001</v>
      </c>
      <c r="CP12" s="6">
        <v>177.13000500000001</v>
      </c>
      <c r="CQ12" s="6">
        <v>149.009995</v>
      </c>
      <c r="CR12" s="6">
        <v>147.61999499999999</v>
      </c>
      <c r="CS12" s="6">
        <v>137.300003</v>
      </c>
      <c r="CT12" s="6">
        <v>149.5</v>
      </c>
      <c r="CU12" s="6">
        <v>148.490005</v>
      </c>
      <c r="CV12" s="6">
        <v>137.10000600000001</v>
      </c>
      <c r="CW12" s="6">
        <v>161.949997</v>
      </c>
      <c r="CX12" s="6">
        <v>162.979996</v>
      </c>
      <c r="CY12" s="6">
        <v>167.35000600000001</v>
      </c>
      <c r="CZ12" s="6">
        <v>164.009995</v>
      </c>
      <c r="DA12" s="6">
        <v>168.13000500000001</v>
      </c>
      <c r="DB12" s="6">
        <v>165.35000600000001</v>
      </c>
    </row>
    <row r="13" spans="1:106">
      <c r="A13" s="3" t="s">
        <v>10</v>
      </c>
      <c r="B13">
        <v>170</v>
      </c>
      <c r="C13" s="6">
        <v>89.55</v>
      </c>
      <c r="D13" s="6">
        <v>89.18</v>
      </c>
      <c r="E13" s="6">
        <v>89.86</v>
      </c>
      <c r="F13" s="6">
        <v>89.88</v>
      </c>
      <c r="G13" s="6">
        <v>89.48</v>
      </c>
      <c r="H13" s="6">
        <v>90.4</v>
      </c>
      <c r="I13" s="6">
        <v>89.81</v>
      </c>
      <c r="J13" s="6">
        <v>90.05</v>
      </c>
      <c r="K13" s="6">
        <v>89.5</v>
      </c>
      <c r="L13" s="6">
        <v>91.29</v>
      </c>
      <c r="M13" s="6">
        <v>91.27</v>
      </c>
      <c r="N13" s="6">
        <v>93.04</v>
      </c>
      <c r="O13" s="6">
        <v>94.18</v>
      </c>
      <c r="P13" s="6">
        <v>93.61</v>
      </c>
      <c r="Q13" s="6">
        <v>93.05</v>
      </c>
      <c r="R13" s="6">
        <v>92.16</v>
      </c>
      <c r="S13" s="6">
        <v>93.34</v>
      </c>
      <c r="T13" s="6">
        <v>92.9</v>
      </c>
      <c r="U13" s="6">
        <v>93.33</v>
      </c>
      <c r="V13" s="6">
        <v>94.14</v>
      </c>
      <c r="W13" s="6">
        <v>93.49</v>
      </c>
      <c r="X13" s="6">
        <v>93.56</v>
      </c>
      <c r="Y13" s="6">
        <v>92.46</v>
      </c>
      <c r="Z13" s="6">
        <v>93.72</v>
      </c>
      <c r="AA13" s="6">
        <v>95.79</v>
      </c>
      <c r="AB13" s="6">
        <v>97</v>
      </c>
      <c r="AC13" s="6">
        <v>96.63</v>
      </c>
      <c r="AD13" s="6">
        <v>97.01</v>
      </c>
      <c r="AE13" s="6">
        <v>97.18</v>
      </c>
      <c r="AF13" s="6">
        <v>97.72</v>
      </c>
      <c r="AG13" s="6">
        <v>97.77</v>
      </c>
      <c r="AH13" s="6">
        <v>98.81</v>
      </c>
      <c r="AI13" s="6">
        <v>99.65</v>
      </c>
      <c r="AJ13" s="6">
        <v>100.57</v>
      </c>
      <c r="AK13" s="6">
        <v>101.15</v>
      </c>
      <c r="AL13" s="6">
        <v>99.96</v>
      </c>
      <c r="AM13" s="6">
        <v>100.04</v>
      </c>
      <c r="AN13" s="6">
        <v>100.14</v>
      </c>
      <c r="AO13" s="6">
        <v>100.71</v>
      </c>
      <c r="AP13" s="6">
        <v>101.57</v>
      </c>
      <c r="AQ13" s="6">
        <v>100.8</v>
      </c>
      <c r="AR13" s="6">
        <v>101.31</v>
      </c>
      <c r="AS13" s="6">
        <v>102.2</v>
      </c>
      <c r="AT13" s="6">
        <v>101.92</v>
      </c>
      <c r="AU13" s="6">
        <v>101.83</v>
      </c>
      <c r="AV13" s="6">
        <v>101.78</v>
      </c>
      <c r="AW13" s="6">
        <v>101.55</v>
      </c>
      <c r="AX13" s="6">
        <v>101.48</v>
      </c>
      <c r="AY13" s="6">
        <v>100.9</v>
      </c>
      <c r="AZ13" s="6">
        <v>102.16</v>
      </c>
      <c r="BA13" s="6">
        <v>102.92</v>
      </c>
      <c r="BB13" s="6">
        <v>102.79</v>
      </c>
      <c r="BC13" s="6">
        <v>103.37</v>
      </c>
      <c r="BD13" s="6">
        <v>104.53</v>
      </c>
      <c r="BE13" s="6">
        <v>104.58</v>
      </c>
      <c r="BF13" s="6">
        <v>104.49</v>
      </c>
      <c r="BG13" s="6">
        <v>103.02</v>
      </c>
      <c r="BH13" s="6">
        <v>102.03</v>
      </c>
      <c r="BI13" s="6">
        <v>100.24</v>
      </c>
      <c r="BJ13" s="6">
        <v>100.41</v>
      </c>
      <c r="BK13" s="6">
        <v>99.84</v>
      </c>
      <c r="BL13" s="6">
        <v>98.19</v>
      </c>
      <c r="BM13" s="6">
        <v>96.3</v>
      </c>
      <c r="BN13">
        <v>99.27</v>
      </c>
      <c r="BO13">
        <v>101.38</v>
      </c>
      <c r="BP13">
        <v>100.54</v>
      </c>
      <c r="BQ13">
        <v>100.27</v>
      </c>
      <c r="BR13">
        <v>99.44</v>
      </c>
      <c r="BS13">
        <v>100.02</v>
      </c>
      <c r="BT13">
        <v>100.02</v>
      </c>
      <c r="BU13">
        <v>103</v>
      </c>
      <c r="BV13">
        <v>103.37</v>
      </c>
      <c r="BW13">
        <v>103.54</v>
      </c>
      <c r="BX13">
        <v>102</v>
      </c>
      <c r="BY13">
        <v>102.46</v>
      </c>
      <c r="BZ13">
        <v>102.53</v>
      </c>
      <c r="CA13" s="6">
        <v>99.972626000000005</v>
      </c>
      <c r="CB13" s="6">
        <v>95.644638</v>
      </c>
      <c r="CC13" s="6">
        <v>92.642966999999999</v>
      </c>
      <c r="CD13" s="6">
        <v>91.745452999999998</v>
      </c>
      <c r="CE13" s="6">
        <v>88.305000000000007</v>
      </c>
      <c r="CF13" s="6">
        <v>89.379997000000003</v>
      </c>
      <c r="CG13" s="6">
        <v>92.68</v>
      </c>
      <c r="CH13" s="6">
        <v>90.93</v>
      </c>
      <c r="CI13" s="6">
        <v>93.790001000000004</v>
      </c>
      <c r="CJ13" s="6">
        <v>90.580001999999993</v>
      </c>
      <c r="CK13" s="6">
        <v>88.360000999999997</v>
      </c>
      <c r="CL13" s="6">
        <v>84.110000999999997</v>
      </c>
      <c r="CM13" s="6">
        <v>88.300003000000004</v>
      </c>
      <c r="CN13" s="6">
        <v>84</v>
      </c>
      <c r="CO13" s="6">
        <v>74.199996999999996</v>
      </c>
      <c r="CP13" s="6">
        <v>75.580001999999993</v>
      </c>
      <c r="CQ13" s="6">
        <v>66.790001000000004</v>
      </c>
      <c r="CR13" s="6">
        <v>69.839995999999999</v>
      </c>
      <c r="CS13" s="6">
        <v>68.040001000000004</v>
      </c>
      <c r="CT13" s="6">
        <v>70.339995999999999</v>
      </c>
      <c r="CU13" s="6">
        <v>67.449996999999996</v>
      </c>
      <c r="CV13" s="6">
        <v>62.799999</v>
      </c>
      <c r="CW13" s="6">
        <v>72.330001999999993</v>
      </c>
      <c r="CX13" s="6">
        <v>79.010002</v>
      </c>
      <c r="CY13" s="6">
        <v>84.300003000000004</v>
      </c>
      <c r="CZ13" s="6">
        <v>83.230002999999996</v>
      </c>
      <c r="DA13" s="6">
        <v>85.379997000000003</v>
      </c>
      <c r="DB13" s="6">
        <v>82.739998</v>
      </c>
    </row>
    <row r="14" spans="1:106">
      <c r="A14" s="3" t="s">
        <v>11</v>
      </c>
      <c r="B14">
        <v>63</v>
      </c>
      <c r="C14" s="6">
        <v>234.58</v>
      </c>
      <c r="D14" s="6">
        <v>237.34</v>
      </c>
      <c r="E14" s="6">
        <v>234.92</v>
      </c>
      <c r="F14" s="6">
        <v>232.2</v>
      </c>
      <c r="G14" s="6">
        <v>234.01</v>
      </c>
      <c r="H14" s="6">
        <v>232.94</v>
      </c>
      <c r="I14" s="6">
        <v>232.84</v>
      </c>
      <c r="J14" s="6">
        <v>231.8</v>
      </c>
      <c r="K14" s="6">
        <v>233.12</v>
      </c>
      <c r="L14" s="6">
        <v>234.8</v>
      </c>
      <c r="M14" s="6">
        <v>236.55</v>
      </c>
      <c r="N14" s="6">
        <v>237.29</v>
      </c>
      <c r="O14" s="6">
        <v>238.85</v>
      </c>
      <c r="P14" s="6">
        <v>225.86</v>
      </c>
      <c r="Q14" s="6">
        <v>220.9</v>
      </c>
      <c r="R14" s="6">
        <v>218.54</v>
      </c>
      <c r="S14" s="6">
        <v>218.03</v>
      </c>
      <c r="T14" s="6">
        <v>218.4</v>
      </c>
      <c r="U14" s="6">
        <v>220.76</v>
      </c>
      <c r="V14" s="6">
        <v>223</v>
      </c>
      <c r="W14" s="6">
        <v>220.51</v>
      </c>
      <c r="X14" s="6">
        <v>217.62</v>
      </c>
      <c r="Y14" s="6">
        <v>214</v>
      </c>
      <c r="Z14" s="6">
        <v>214.1</v>
      </c>
      <c r="AA14" s="6">
        <v>213</v>
      </c>
      <c r="AB14" s="6">
        <v>214.28</v>
      </c>
      <c r="AC14" s="6">
        <v>216.53</v>
      </c>
      <c r="AD14" s="6">
        <v>215.9</v>
      </c>
      <c r="AE14" s="6">
        <v>212</v>
      </c>
      <c r="AF14" s="6">
        <v>212.04</v>
      </c>
      <c r="AG14" s="6">
        <v>214.08</v>
      </c>
      <c r="AH14" s="6">
        <v>215.53</v>
      </c>
      <c r="AI14" s="6">
        <v>217.72</v>
      </c>
      <c r="AJ14" s="6">
        <v>218</v>
      </c>
      <c r="AK14" s="6">
        <v>220.22</v>
      </c>
      <c r="AL14" s="6">
        <v>221.19</v>
      </c>
      <c r="AM14" s="6">
        <v>219.21</v>
      </c>
      <c r="AN14" s="6">
        <v>220.67</v>
      </c>
      <c r="AO14" s="6">
        <v>220.82</v>
      </c>
      <c r="AP14" s="6">
        <v>219.97</v>
      </c>
      <c r="AQ14" s="6">
        <v>217.31</v>
      </c>
      <c r="AR14" s="6">
        <v>218.38</v>
      </c>
      <c r="AS14" s="6">
        <v>219.66</v>
      </c>
      <c r="AT14" s="6">
        <v>218.93</v>
      </c>
      <c r="AU14" s="6">
        <v>219.96</v>
      </c>
      <c r="AV14" s="6">
        <v>218.52</v>
      </c>
      <c r="AW14" s="6">
        <v>221.79</v>
      </c>
      <c r="AX14" s="6">
        <v>225.19</v>
      </c>
      <c r="AY14" s="6">
        <v>224.22</v>
      </c>
      <c r="AZ14" s="6">
        <v>223.34</v>
      </c>
      <c r="BA14" s="6">
        <v>222.81</v>
      </c>
      <c r="BB14" s="6">
        <v>224.59</v>
      </c>
      <c r="BC14" s="6">
        <v>228.82</v>
      </c>
      <c r="BD14" s="6">
        <v>231.91</v>
      </c>
      <c r="BE14" s="6">
        <v>232.95</v>
      </c>
      <c r="BF14" s="6">
        <v>232.9</v>
      </c>
      <c r="BG14" s="6">
        <v>233.65</v>
      </c>
      <c r="BH14" s="6">
        <v>232</v>
      </c>
      <c r="BI14" s="6">
        <v>231.19</v>
      </c>
      <c r="BJ14" s="6">
        <v>233.86</v>
      </c>
      <c r="BK14" s="6">
        <v>234.02</v>
      </c>
      <c r="BL14" s="6">
        <v>232.79</v>
      </c>
      <c r="BM14" s="6">
        <v>228.1</v>
      </c>
      <c r="BN14">
        <v>231.54</v>
      </c>
      <c r="BO14">
        <v>235</v>
      </c>
      <c r="BP14">
        <v>238.11</v>
      </c>
      <c r="BQ14">
        <v>238.84</v>
      </c>
      <c r="BR14">
        <v>237.3</v>
      </c>
      <c r="BS14">
        <v>240.61</v>
      </c>
      <c r="BT14">
        <v>241.64</v>
      </c>
      <c r="BU14">
        <v>241.59</v>
      </c>
      <c r="BV14">
        <v>242.36</v>
      </c>
      <c r="BW14">
        <v>245.03</v>
      </c>
      <c r="BX14">
        <v>243.94</v>
      </c>
      <c r="BY14">
        <v>243.64</v>
      </c>
      <c r="BZ14">
        <v>247.02</v>
      </c>
      <c r="CA14" s="6">
        <v>243.709473</v>
      </c>
      <c r="CB14" s="6">
        <v>238.10694899999999</v>
      </c>
      <c r="CC14" s="6">
        <v>235.80238299999999</v>
      </c>
      <c r="CD14" s="6">
        <v>233.716339</v>
      </c>
      <c r="CE14" s="6">
        <v>223.23644999999999</v>
      </c>
      <c r="CF14" s="6">
        <v>216.39224200000001</v>
      </c>
      <c r="CG14" s="6">
        <v>228.41181900000001</v>
      </c>
      <c r="CH14" s="6">
        <v>226.42512500000001</v>
      </c>
      <c r="CI14" s="6">
        <v>239.47778299999999</v>
      </c>
      <c r="CJ14" s="6">
        <v>233.24945099999999</v>
      </c>
      <c r="CK14" s="6">
        <v>226.99131800000001</v>
      </c>
      <c r="CL14" s="6">
        <v>209.061295</v>
      </c>
      <c r="CM14" s="6">
        <v>224.199997</v>
      </c>
      <c r="CN14" s="6">
        <v>212.88999899999999</v>
      </c>
      <c r="CO14" s="6">
        <v>190.58999600000001</v>
      </c>
      <c r="CP14" s="6">
        <v>205.66999799999999</v>
      </c>
      <c r="CQ14" s="6">
        <v>164.96000699999999</v>
      </c>
      <c r="CR14" s="6">
        <v>173.63999899999999</v>
      </c>
      <c r="CS14" s="6">
        <v>155.63000500000001</v>
      </c>
      <c r="CT14" s="6">
        <v>161.13000500000001</v>
      </c>
      <c r="CU14" s="6">
        <v>152.14999399999999</v>
      </c>
      <c r="CV14" s="6">
        <v>162.38999899999999</v>
      </c>
      <c r="CW14" s="6">
        <v>184.720001</v>
      </c>
      <c r="CX14" s="6">
        <v>181.759995</v>
      </c>
      <c r="CY14" s="6">
        <v>195.21000699999999</v>
      </c>
      <c r="CZ14" s="6">
        <v>190.550003</v>
      </c>
      <c r="DA14" s="6">
        <v>196.10000600000001</v>
      </c>
      <c r="DB14" s="6">
        <v>186.71000699999999</v>
      </c>
    </row>
    <row r="15" spans="1:106">
      <c r="A15" s="3" t="s">
        <v>12</v>
      </c>
      <c r="B15">
        <v>51</v>
      </c>
      <c r="C15" s="6">
        <v>96.96</v>
      </c>
      <c r="D15" s="6">
        <v>96.31</v>
      </c>
      <c r="E15" s="6">
        <v>97.99</v>
      </c>
      <c r="F15" s="6">
        <v>100.15</v>
      </c>
      <c r="G15" s="6">
        <v>99.57</v>
      </c>
      <c r="H15" s="6">
        <v>98.93</v>
      </c>
      <c r="I15" s="6">
        <v>99.09</v>
      </c>
      <c r="J15" s="6">
        <v>98.13</v>
      </c>
      <c r="K15" s="6">
        <v>98.09</v>
      </c>
      <c r="L15" s="6">
        <v>97.76</v>
      </c>
      <c r="M15" s="6">
        <v>98.85</v>
      </c>
      <c r="N15" s="6">
        <v>99.69</v>
      </c>
      <c r="O15" s="6">
        <v>100.17</v>
      </c>
      <c r="P15" s="6">
        <v>100.21</v>
      </c>
      <c r="Q15" s="6">
        <v>99.26</v>
      </c>
      <c r="R15" s="6">
        <v>99.08</v>
      </c>
      <c r="S15" s="6">
        <v>101.22</v>
      </c>
      <c r="T15" s="6">
        <v>103.09</v>
      </c>
      <c r="U15" s="6">
        <v>105.32</v>
      </c>
      <c r="V15" s="6">
        <v>106.37</v>
      </c>
      <c r="W15" s="6">
        <v>105</v>
      </c>
      <c r="X15" s="6">
        <v>104.75</v>
      </c>
      <c r="Y15" s="6">
        <v>103.95</v>
      </c>
      <c r="Z15" s="6">
        <v>104.18</v>
      </c>
      <c r="AA15" s="6">
        <v>104.91</v>
      </c>
      <c r="AB15" s="6">
        <v>105.47</v>
      </c>
      <c r="AC15" s="6">
        <v>104.75</v>
      </c>
      <c r="AD15" s="6">
        <v>104.7</v>
      </c>
      <c r="AE15" s="6">
        <v>105.7</v>
      </c>
      <c r="AF15" s="6">
        <v>106.52</v>
      </c>
      <c r="AG15" s="6">
        <v>107.2</v>
      </c>
      <c r="AH15" s="6">
        <v>108.48</v>
      </c>
      <c r="AI15" s="6">
        <v>108.8</v>
      </c>
      <c r="AJ15" s="6">
        <v>109.25</v>
      </c>
      <c r="AK15" s="6">
        <v>110.34</v>
      </c>
      <c r="AL15" s="6">
        <v>111.42</v>
      </c>
      <c r="AM15" s="6">
        <v>111.28</v>
      </c>
      <c r="AN15" s="6">
        <v>111.37</v>
      </c>
      <c r="AO15" s="6">
        <v>111.94</v>
      </c>
      <c r="AP15" s="6">
        <v>112.39</v>
      </c>
      <c r="AQ15" s="6">
        <v>111.37</v>
      </c>
      <c r="AR15" s="6">
        <v>110.91</v>
      </c>
      <c r="AS15" s="6">
        <v>111.45</v>
      </c>
      <c r="AT15" s="6">
        <v>109.99</v>
      </c>
      <c r="AU15" s="6">
        <v>109.42</v>
      </c>
      <c r="AV15" s="6">
        <v>108.29</v>
      </c>
      <c r="AW15" s="6">
        <v>109.21</v>
      </c>
      <c r="AX15" s="6">
        <v>109.09</v>
      </c>
      <c r="AY15" s="6">
        <v>108.6</v>
      </c>
      <c r="AZ15" s="6">
        <v>109.29</v>
      </c>
      <c r="BA15" s="6">
        <v>109.09</v>
      </c>
      <c r="BB15" s="6">
        <v>109.63</v>
      </c>
      <c r="BC15" s="6">
        <v>111.6</v>
      </c>
      <c r="BD15" s="6">
        <v>113.92</v>
      </c>
      <c r="BE15" s="6">
        <v>110.62</v>
      </c>
      <c r="BF15" s="6">
        <v>110.85</v>
      </c>
      <c r="BG15" s="6">
        <v>110.96</v>
      </c>
      <c r="BH15" s="6">
        <v>108.49</v>
      </c>
      <c r="BI15" s="6">
        <v>104.94</v>
      </c>
      <c r="BJ15" s="6">
        <v>107.86</v>
      </c>
      <c r="BK15" s="6">
        <v>110.01</v>
      </c>
      <c r="BL15" s="6">
        <v>109.07</v>
      </c>
      <c r="BM15" s="6">
        <v>107.8</v>
      </c>
      <c r="BN15">
        <v>107.85</v>
      </c>
      <c r="BO15">
        <v>110.94</v>
      </c>
      <c r="BP15">
        <v>113.26</v>
      </c>
      <c r="BQ15">
        <v>112.7</v>
      </c>
      <c r="BR15">
        <v>110.84</v>
      </c>
      <c r="BS15">
        <v>111.37</v>
      </c>
      <c r="BT15">
        <v>112.94</v>
      </c>
      <c r="BU15">
        <v>113.7</v>
      </c>
      <c r="BV15">
        <v>112.96</v>
      </c>
      <c r="BW15">
        <v>113.23</v>
      </c>
      <c r="BX15">
        <v>111.93</v>
      </c>
      <c r="BY15">
        <v>112.67</v>
      </c>
      <c r="BZ15">
        <v>112</v>
      </c>
      <c r="CA15" s="6">
        <v>109.40211499999999</v>
      </c>
      <c r="CB15" s="6">
        <v>103.860619</v>
      </c>
      <c r="CC15" s="6">
        <v>98.728493</v>
      </c>
      <c r="CD15" s="6">
        <v>97.75</v>
      </c>
      <c r="CE15" s="6">
        <v>95.830001999999993</v>
      </c>
      <c r="CF15" s="6">
        <v>97.199996999999996</v>
      </c>
      <c r="CG15" s="6">
        <v>96.459998999999996</v>
      </c>
      <c r="CH15" s="6">
        <v>93.330001999999993</v>
      </c>
      <c r="CI15" s="6">
        <v>98.389999000000003</v>
      </c>
      <c r="CJ15" s="6">
        <v>91.5</v>
      </c>
      <c r="CK15" s="6">
        <v>90.449996999999996</v>
      </c>
      <c r="CL15" s="6">
        <v>86.18</v>
      </c>
      <c r="CM15" s="6">
        <v>90.32</v>
      </c>
      <c r="CN15" s="6">
        <v>81.089995999999999</v>
      </c>
      <c r="CO15" s="6">
        <v>76.720000999999996</v>
      </c>
      <c r="CP15" s="6">
        <v>78.629997000000003</v>
      </c>
      <c r="CQ15" s="6">
        <v>69.540001000000004</v>
      </c>
      <c r="CR15" s="6">
        <v>64.830001999999993</v>
      </c>
      <c r="CS15" s="6">
        <v>56.68</v>
      </c>
      <c r="CT15" s="6">
        <v>58.029998999999997</v>
      </c>
      <c r="CU15" s="6">
        <v>61.599997999999999</v>
      </c>
      <c r="CV15" s="6">
        <v>63.330002</v>
      </c>
      <c r="CW15" s="6">
        <v>69.389999000000003</v>
      </c>
      <c r="CX15" s="6">
        <v>72.25</v>
      </c>
      <c r="CY15" s="6">
        <v>73.199996999999996</v>
      </c>
      <c r="CZ15" s="6">
        <v>69.150002000000001</v>
      </c>
      <c r="DA15" s="6">
        <v>68.680000000000007</v>
      </c>
      <c r="DB15" s="6">
        <v>68.239998</v>
      </c>
    </row>
    <row r="16" spans="1:106">
      <c r="A16" s="3" t="s">
        <v>13</v>
      </c>
      <c r="B16">
        <v>177</v>
      </c>
      <c r="C16" s="6">
        <v>84.56</v>
      </c>
      <c r="D16" s="6">
        <v>83.21</v>
      </c>
      <c r="E16" s="6">
        <v>82.37</v>
      </c>
      <c r="F16" s="6">
        <v>81.89</v>
      </c>
      <c r="G16" s="6">
        <v>82.99</v>
      </c>
      <c r="H16" s="6">
        <v>81.95</v>
      </c>
      <c r="I16" s="6">
        <v>81.77</v>
      </c>
      <c r="J16" s="6">
        <v>82.43</v>
      </c>
      <c r="K16" s="6">
        <v>83.32</v>
      </c>
      <c r="L16" s="6">
        <v>83.94</v>
      </c>
      <c r="M16" s="6">
        <v>84.38</v>
      </c>
      <c r="N16" s="6">
        <v>84.21</v>
      </c>
      <c r="O16" s="6">
        <v>84.02</v>
      </c>
      <c r="P16" s="6">
        <v>83.66</v>
      </c>
      <c r="Q16" s="6">
        <v>83.6</v>
      </c>
      <c r="R16" s="6">
        <v>82.3</v>
      </c>
      <c r="S16" s="6">
        <v>83.02</v>
      </c>
      <c r="T16" s="6">
        <v>83.75</v>
      </c>
      <c r="U16" s="6">
        <v>84.56</v>
      </c>
      <c r="V16" s="6">
        <v>85.77</v>
      </c>
      <c r="W16" s="6">
        <v>85.43</v>
      </c>
      <c r="X16" s="6">
        <v>84.57</v>
      </c>
      <c r="Y16" s="6">
        <v>84.82</v>
      </c>
      <c r="Z16" s="6">
        <v>85.4</v>
      </c>
      <c r="AA16" s="6">
        <v>84.45</v>
      </c>
      <c r="AB16" s="6">
        <v>86.32</v>
      </c>
      <c r="AC16" s="6">
        <v>86.28</v>
      </c>
      <c r="AD16" s="6">
        <v>86.04</v>
      </c>
      <c r="AE16" s="6">
        <v>86.59</v>
      </c>
      <c r="AF16" s="6">
        <v>88.21</v>
      </c>
      <c r="AG16" s="6">
        <v>88.67</v>
      </c>
      <c r="AH16" s="6">
        <v>88.78</v>
      </c>
      <c r="AI16" s="6">
        <v>88.13</v>
      </c>
      <c r="AJ16" s="6">
        <v>87.99</v>
      </c>
      <c r="AK16" s="6">
        <v>88.52</v>
      </c>
      <c r="AL16" s="6">
        <v>88.46</v>
      </c>
      <c r="AM16" s="6">
        <v>88.23</v>
      </c>
      <c r="AN16" s="6">
        <v>88.52</v>
      </c>
      <c r="AO16" s="6">
        <v>88.075000000000003</v>
      </c>
      <c r="AP16" s="6">
        <v>88.13</v>
      </c>
      <c r="AQ16" s="6">
        <v>87.44</v>
      </c>
      <c r="AR16" s="6">
        <v>87.92</v>
      </c>
      <c r="AS16" s="6">
        <v>89.35</v>
      </c>
      <c r="AT16" s="6">
        <v>88.83</v>
      </c>
      <c r="AU16" s="6">
        <v>88.13</v>
      </c>
      <c r="AV16" s="6">
        <v>87.86</v>
      </c>
      <c r="AW16" s="6">
        <v>88.88</v>
      </c>
      <c r="AX16" s="6">
        <v>90.53</v>
      </c>
      <c r="AY16" s="6">
        <v>90.16</v>
      </c>
      <c r="AZ16" s="6">
        <v>91.08</v>
      </c>
      <c r="BA16" s="6">
        <v>90.99</v>
      </c>
      <c r="BB16" s="6">
        <v>91.54</v>
      </c>
      <c r="BC16" s="6">
        <v>92.58</v>
      </c>
      <c r="BD16" s="6">
        <v>93.62</v>
      </c>
      <c r="BE16" s="6">
        <v>92.53</v>
      </c>
      <c r="BF16" s="6">
        <v>92.53</v>
      </c>
      <c r="BG16" s="6">
        <v>93.75</v>
      </c>
      <c r="BH16" s="6">
        <v>92.03</v>
      </c>
      <c r="BI16" s="6">
        <v>88.73</v>
      </c>
      <c r="BJ16" s="6">
        <v>88.6</v>
      </c>
      <c r="BK16" s="6">
        <v>86.72</v>
      </c>
      <c r="BL16" s="6">
        <v>85.84</v>
      </c>
      <c r="BM16" s="6">
        <v>84.83</v>
      </c>
      <c r="BN16">
        <v>86.01</v>
      </c>
      <c r="BO16">
        <v>88.38</v>
      </c>
      <c r="BP16">
        <v>87.56</v>
      </c>
      <c r="BQ16">
        <v>86.15</v>
      </c>
      <c r="BR16">
        <v>86.42</v>
      </c>
      <c r="BS16">
        <v>87.53</v>
      </c>
      <c r="BT16">
        <v>87.51</v>
      </c>
      <c r="BU16">
        <v>88.57</v>
      </c>
      <c r="BV16">
        <v>89.924999999999997</v>
      </c>
      <c r="BW16">
        <v>89.28</v>
      </c>
      <c r="BX16">
        <v>89.23</v>
      </c>
      <c r="BY16">
        <v>90.14</v>
      </c>
      <c r="BZ16">
        <v>88.6</v>
      </c>
      <c r="CA16" s="6">
        <v>87.360000999999997</v>
      </c>
      <c r="CB16" s="6">
        <v>84.519997000000004</v>
      </c>
      <c r="CC16" s="6">
        <v>82.190002000000007</v>
      </c>
      <c r="CD16" s="6">
        <v>80.669998000000007</v>
      </c>
      <c r="CE16" s="6">
        <v>78.290001000000004</v>
      </c>
      <c r="CF16" s="6">
        <v>78.430000000000007</v>
      </c>
      <c r="CG16" s="6">
        <v>82.379997000000003</v>
      </c>
      <c r="CH16" s="6">
        <v>78.599997999999999</v>
      </c>
      <c r="CI16" s="6">
        <v>79.669998000000007</v>
      </c>
      <c r="CJ16" s="6">
        <v>76.190002000000007</v>
      </c>
      <c r="CK16" s="6">
        <v>75.339995999999999</v>
      </c>
      <c r="CL16" s="6">
        <v>70.830001999999993</v>
      </c>
      <c r="CM16" s="6">
        <v>74.870002999999997</v>
      </c>
      <c r="CN16" s="6">
        <v>68.300003000000004</v>
      </c>
      <c r="CO16" s="6">
        <v>62.099997999999999</v>
      </c>
      <c r="CP16" s="6">
        <v>69.919998000000007</v>
      </c>
      <c r="CQ16" s="6">
        <v>58.59</v>
      </c>
      <c r="CR16" s="6">
        <v>58.98</v>
      </c>
      <c r="CS16" s="6">
        <v>56.330002</v>
      </c>
      <c r="CT16" s="6">
        <v>61.41</v>
      </c>
      <c r="CU16" s="6">
        <v>58.029998999999997</v>
      </c>
      <c r="CV16" s="6">
        <v>56.549999</v>
      </c>
      <c r="CW16" s="6">
        <v>64.879997000000003</v>
      </c>
      <c r="CX16" s="6">
        <v>65.809997999999993</v>
      </c>
      <c r="CY16" s="6">
        <v>69.900002000000001</v>
      </c>
      <c r="CZ16" s="6">
        <v>66.339995999999999</v>
      </c>
      <c r="DA16" s="6">
        <v>67.860000999999997</v>
      </c>
      <c r="DB16" s="6">
        <v>65.739998</v>
      </c>
    </row>
    <row r="17" spans="1:106">
      <c r="A17" s="2" t="s">
        <v>14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</row>
    <row r="18" spans="1:106">
      <c r="A18" s="3" t="s">
        <v>15</v>
      </c>
      <c r="B18">
        <v>471</v>
      </c>
      <c r="C18" s="6">
        <v>50.86</v>
      </c>
      <c r="D18" s="6">
        <v>51.18</v>
      </c>
      <c r="E18" s="6">
        <v>51.38</v>
      </c>
      <c r="F18" s="6">
        <v>51.59</v>
      </c>
      <c r="G18" s="6">
        <v>52.47</v>
      </c>
      <c r="H18" s="6">
        <v>51.98</v>
      </c>
      <c r="I18" s="6">
        <v>52.5</v>
      </c>
      <c r="J18" s="6">
        <v>52.36</v>
      </c>
      <c r="K18" s="6">
        <v>52.36</v>
      </c>
      <c r="L18" s="6">
        <v>52.6</v>
      </c>
      <c r="M18" s="6">
        <v>52.53</v>
      </c>
      <c r="N18" s="6">
        <v>52.56</v>
      </c>
      <c r="O18" s="6">
        <v>52.89</v>
      </c>
      <c r="P18" s="6">
        <v>52.91</v>
      </c>
      <c r="Q18" s="6">
        <v>53.17</v>
      </c>
      <c r="R18" s="6">
        <v>52.34</v>
      </c>
      <c r="S18" s="6">
        <v>52.69</v>
      </c>
      <c r="T18" s="6">
        <v>52.72</v>
      </c>
      <c r="U18" s="6">
        <v>53.3</v>
      </c>
      <c r="V18" s="6">
        <v>53.48</v>
      </c>
      <c r="W18" s="6">
        <v>53.32</v>
      </c>
      <c r="X18" s="6">
        <v>53.48</v>
      </c>
      <c r="Y18" s="6">
        <v>53.65</v>
      </c>
      <c r="Z18" s="6">
        <v>53.3</v>
      </c>
      <c r="AA18" s="6">
        <v>53.9</v>
      </c>
      <c r="AB18" s="6">
        <v>53.31</v>
      </c>
      <c r="AC18" s="6">
        <v>53.16</v>
      </c>
      <c r="AD18" s="6">
        <v>53.24</v>
      </c>
      <c r="AE18" s="6">
        <v>51.58</v>
      </c>
      <c r="AF18" s="6">
        <v>51.66</v>
      </c>
      <c r="AG18" s="6">
        <v>51.6</v>
      </c>
      <c r="AH18" s="6">
        <v>52.38</v>
      </c>
      <c r="AI18" s="6">
        <v>52.17</v>
      </c>
      <c r="AJ18" s="6">
        <v>53.18</v>
      </c>
      <c r="AK18" s="6">
        <v>53.2</v>
      </c>
      <c r="AL18" s="6">
        <v>53.28</v>
      </c>
      <c r="AM18" s="6">
        <v>52.72</v>
      </c>
      <c r="AN18" s="6">
        <v>52.98</v>
      </c>
      <c r="AO18" s="6">
        <v>52.42</v>
      </c>
      <c r="AP18" s="6">
        <v>53.19</v>
      </c>
      <c r="AQ18" s="6">
        <v>52.74</v>
      </c>
      <c r="AR18" s="6">
        <v>53.56</v>
      </c>
      <c r="AS18" s="6">
        <v>52.13</v>
      </c>
      <c r="AT18" s="6">
        <v>51.94</v>
      </c>
      <c r="AU18" s="6">
        <v>52.59</v>
      </c>
      <c r="AV18" s="6">
        <v>52.23</v>
      </c>
      <c r="AW18" s="6">
        <v>52.98</v>
      </c>
      <c r="AX18" s="6">
        <v>52.38</v>
      </c>
      <c r="AY18" s="6">
        <v>52.25</v>
      </c>
      <c r="AZ18" s="6">
        <v>53.06</v>
      </c>
      <c r="BA18" s="6">
        <v>53</v>
      </c>
      <c r="BB18" s="6">
        <v>53.37</v>
      </c>
      <c r="BC18" s="6">
        <v>53.72</v>
      </c>
      <c r="BD18" s="6">
        <v>53.85</v>
      </c>
      <c r="BE18" s="6">
        <v>54.34</v>
      </c>
      <c r="BF18" s="6">
        <v>53.98</v>
      </c>
      <c r="BG18" s="6">
        <v>54.24</v>
      </c>
      <c r="BH18" s="6">
        <v>53.71</v>
      </c>
      <c r="BI18" s="6">
        <v>53.22</v>
      </c>
      <c r="BJ18" s="6">
        <v>53.01</v>
      </c>
      <c r="BK18" s="6">
        <v>53.03</v>
      </c>
      <c r="BL18" s="6">
        <v>53.73</v>
      </c>
      <c r="BM18" s="6">
        <v>52.22</v>
      </c>
      <c r="BN18">
        <v>52.99</v>
      </c>
      <c r="BO18">
        <v>52.55</v>
      </c>
      <c r="BP18">
        <v>52.56</v>
      </c>
      <c r="BQ18">
        <v>51.71</v>
      </c>
      <c r="BR18">
        <v>51.9</v>
      </c>
      <c r="BS18">
        <v>52.36</v>
      </c>
      <c r="BT18">
        <v>52.76</v>
      </c>
      <c r="BU18">
        <v>52.93</v>
      </c>
      <c r="BV18">
        <v>52.99</v>
      </c>
      <c r="BW18">
        <v>53.31</v>
      </c>
      <c r="BX18">
        <v>53.54</v>
      </c>
      <c r="BY18">
        <v>53.24</v>
      </c>
      <c r="BZ18">
        <v>54.13</v>
      </c>
      <c r="CA18" s="6">
        <v>53.919998</v>
      </c>
      <c r="CB18" s="6">
        <v>53.720001000000003</v>
      </c>
      <c r="CC18" s="6">
        <v>52.529998999999997</v>
      </c>
      <c r="CD18" s="6">
        <v>52.139999000000003</v>
      </c>
      <c r="CE18" s="6">
        <v>50.139999000000003</v>
      </c>
      <c r="CF18" s="6">
        <v>49</v>
      </c>
      <c r="CG18" s="6">
        <v>51.41</v>
      </c>
      <c r="CH18" s="6">
        <v>51.650002000000001</v>
      </c>
      <c r="CI18" s="6">
        <v>54.169998</v>
      </c>
      <c r="CJ18" s="6">
        <v>54.299999</v>
      </c>
      <c r="CK18" s="6">
        <v>54.77</v>
      </c>
      <c r="CL18" s="6">
        <v>54.139999000000003</v>
      </c>
      <c r="CM18" s="6">
        <v>54.09</v>
      </c>
      <c r="CN18" s="6">
        <v>52.869999</v>
      </c>
      <c r="CO18" s="6">
        <v>50</v>
      </c>
      <c r="CP18" s="6">
        <v>53.48</v>
      </c>
      <c r="CQ18" s="6">
        <v>53.380001</v>
      </c>
      <c r="CR18" s="6">
        <v>59.669998</v>
      </c>
      <c r="CS18" s="6">
        <v>57.75</v>
      </c>
      <c r="CT18" s="6">
        <v>53.68</v>
      </c>
      <c r="CU18" s="6">
        <v>53.369999</v>
      </c>
      <c r="CV18" s="6">
        <v>47.279998999999997</v>
      </c>
      <c r="CW18" s="6">
        <v>48.23</v>
      </c>
      <c r="CX18" s="6">
        <v>47.650002000000001</v>
      </c>
      <c r="CY18" s="6">
        <v>50</v>
      </c>
      <c r="CZ18" s="6">
        <v>51.82</v>
      </c>
      <c r="DA18" s="6">
        <v>54.099997999999999</v>
      </c>
      <c r="DB18" s="6">
        <v>52.77</v>
      </c>
    </row>
    <row r="19" spans="1:106">
      <c r="A19" s="3" t="s">
        <v>16</v>
      </c>
      <c r="B19">
        <v>126</v>
      </c>
      <c r="C19" s="6">
        <v>190.33</v>
      </c>
      <c r="D19" s="6">
        <v>191</v>
      </c>
      <c r="E19" s="6">
        <v>193.92</v>
      </c>
      <c r="F19" s="6">
        <v>191.72</v>
      </c>
      <c r="G19" s="6">
        <v>193.21</v>
      </c>
      <c r="H19" s="6">
        <v>190.28</v>
      </c>
      <c r="I19" s="6">
        <v>187.56</v>
      </c>
      <c r="J19" s="6">
        <v>184.52</v>
      </c>
      <c r="K19" s="6">
        <v>183.83</v>
      </c>
      <c r="L19" s="6">
        <v>184.01</v>
      </c>
      <c r="M19" s="6">
        <v>182.86</v>
      </c>
      <c r="N19" s="6">
        <v>179.65</v>
      </c>
      <c r="O19" s="6">
        <v>174.89</v>
      </c>
      <c r="P19" s="6">
        <v>180.96</v>
      </c>
      <c r="Q19" s="6">
        <v>185.86</v>
      </c>
      <c r="R19" s="6">
        <v>186.63</v>
      </c>
      <c r="S19" s="6">
        <v>181.22</v>
      </c>
      <c r="T19" s="6">
        <v>183.57</v>
      </c>
      <c r="U19" s="6">
        <v>184.06</v>
      </c>
      <c r="V19" s="6">
        <v>185.75</v>
      </c>
      <c r="W19" s="6">
        <v>186.06</v>
      </c>
      <c r="X19" s="6">
        <v>186.08</v>
      </c>
      <c r="Y19" s="6">
        <v>184.49</v>
      </c>
      <c r="Z19" s="6">
        <v>184.29</v>
      </c>
      <c r="AA19" s="6">
        <v>182.46</v>
      </c>
      <c r="AB19" s="6">
        <v>183.65</v>
      </c>
      <c r="AC19" s="6">
        <v>181.27</v>
      </c>
      <c r="AD19" s="6">
        <v>180.93</v>
      </c>
      <c r="AE19" s="6">
        <v>181.62</v>
      </c>
      <c r="AF19" s="6">
        <v>179.79</v>
      </c>
      <c r="AG19" s="6">
        <v>182.06</v>
      </c>
      <c r="AH19" s="6">
        <v>182.89</v>
      </c>
      <c r="AI19" s="6">
        <v>183.12</v>
      </c>
      <c r="AJ19" s="6">
        <v>183.68</v>
      </c>
      <c r="AK19" s="6">
        <v>185.82</v>
      </c>
      <c r="AL19" s="6">
        <v>188.9</v>
      </c>
      <c r="AM19" s="6">
        <v>188.04</v>
      </c>
      <c r="AN19" s="6">
        <v>186.83</v>
      </c>
      <c r="AO19" s="6">
        <v>189.66</v>
      </c>
      <c r="AP19" s="6">
        <v>189.23</v>
      </c>
      <c r="AQ19" s="6">
        <v>188.37</v>
      </c>
      <c r="AR19" s="6">
        <v>189.75</v>
      </c>
      <c r="AS19" s="6">
        <v>188.3</v>
      </c>
      <c r="AT19" s="6">
        <v>189.53</v>
      </c>
      <c r="AU19" s="6">
        <v>190.4</v>
      </c>
      <c r="AV19" s="6">
        <v>183.6</v>
      </c>
      <c r="AW19" s="6">
        <v>190.29</v>
      </c>
      <c r="AX19" s="6">
        <v>193.59</v>
      </c>
      <c r="AY19" s="6">
        <v>188.38</v>
      </c>
      <c r="AZ19" s="6">
        <v>188.44</v>
      </c>
      <c r="BA19" s="6">
        <v>190.83</v>
      </c>
      <c r="BB19" s="6">
        <v>190.85</v>
      </c>
      <c r="BC19" s="6">
        <v>190.86</v>
      </c>
      <c r="BD19" s="6">
        <v>189.95</v>
      </c>
      <c r="BE19" s="6">
        <v>190.23</v>
      </c>
      <c r="BF19" s="6">
        <v>191.94</v>
      </c>
      <c r="BG19" s="6">
        <v>193.97</v>
      </c>
      <c r="BH19" s="6">
        <v>191.56</v>
      </c>
      <c r="BI19" s="6">
        <v>190.9</v>
      </c>
      <c r="BJ19" s="6">
        <v>192.75</v>
      </c>
      <c r="BK19" s="6">
        <v>192.58</v>
      </c>
      <c r="BL19" s="6">
        <v>190.79</v>
      </c>
      <c r="BM19" s="6">
        <v>188.3</v>
      </c>
      <c r="BN19">
        <v>189.12</v>
      </c>
      <c r="BO19">
        <v>192.89</v>
      </c>
      <c r="BP19">
        <v>197.14</v>
      </c>
      <c r="BQ19">
        <v>199.8</v>
      </c>
      <c r="BR19">
        <v>200.34</v>
      </c>
      <c r="BS19">
        <v>200.07</v>
      </c>
      <c r="BT19">
        <v>199.94</v>
      </c>
      <c r="BU19">
        <v>198.72</v>
      </c>
      <c r="BV19">
        <v>201.19</v>
      </c>
      <c r="BW19">
        <v>203.83</v>
      </c>
      <c r="BX19">
        <v>203.82</v>
      </c>
      <c r="BY19">
        <v>206.64</v>
      </c>
      <c r="BZ19">
        <v>208.34</v>
      </c>
      <c r="CA19" s="6">
        <v>207.39999399999999</v>
      </c>
      <c r="CB19" s="6">
        <v>201.53999300000001</v>
      </c>
      <c r="CC19" s="6">
        <v>195.28999300000001</v>
      </c>
      <c r="CD19" s="6">
        <v>190.970001</v>
      </c>
      <c r="CE19" s="6">
        <v>175.66000399999999</v>
      </c>
      <c r="CF19" s="6">
        <v>172.38000500000001</v>
      </c>
      <c r="CG19" s="6">
        <v>177.220001</v>
      </c>
      <c r="CH19" s="6">
        <v>177.58999600000001</v>
      </c>
      <c r="CI19" s="6">
        <v>185.96000699999999</v>
      </c>
      <c r="CJ19" s="6">
        <v>182.770004</v>
      </c>
      <c r="CK19" s="6">
        <v>179.070007</v>
      </c>
      <c r="CL19" s="6">
        <v>164.240005</v>
      </c>
      <c r="CM19" s="6">
        <v>165.320007</v>
      </c>
      <c r="CN19" s="6">
        <v>155.070007</v>
      </c>
      <c r="CO19" s="6">
        <v>131.429993</v>
      </c>
      <c r="CP19" s="6">
        <v>132.979996</v>
      </c>
      <c r="CQ19" s="6">
        <v>124.75</v>
      </c>
      <c r="CR19" s="6">
        <v>124.449997</v>
      </c>
      <c r="CS19" s="6">
        <v>121.25</v>
      </c>
      <c r="CT19" s="6">
        <v>123.05999799999999</v>
      </c>
      <c r="CU19" s="6">
        <v>119.699997</v>
      </c>
      <c r="CV19" s="6">
        <v>105.639999</v>
      </c>
      <c r="CW19" s="6">
        <v>123.82</v>
      </c>
      <c r="CX19" s="6">
        <v>126.610001</v>
      </c>
      <c r="CY19" s="6">
        <v>140.69000199999999</v>
      </c>
      <c r="CZ19" s="6">
        <v>144.88000500000001</v>
      </c>
      <c r="DA19" s="6">
        <v>146.44000199999999</v>
      </c>
      <c r="DB19" s="6">
        <v>143.36000100000001</v>
      </c>
    </row>
    <row r="20" spans="1:106">
      <c r="A20" s="3" t="s">
        <v>17</v>
      </c>
      <c r="B20">
        <v>308</v>
      </c>
      <c r="C20" s="6">
        <v>117.26</v>
      </c>
      <c r="D20" s="6">
        <v>117.62</v>
      </c>
      <c r="E20" s="6">
        <v>117.57</v>
      </c>
      <c r="F20" s="6">
        <v>118.86</v>
      </c>
      <c r="G20" s="6">
        <v>119.5</v>
      </c>
      <c r="H20" s="6">
        <v>120.23</v>
      </c>
      <c r="I20" s="6">
        <v>119.44</v>
      </c>
      <c r="J20" s="6">
        <v>119.04</v>
      </c>
      <c r="K20" s="6">
        <v>119.12</v>
      </c>
      <c r="L20" s="6">
        <v>120.98</v>
      </c>
      <c r="M20" s="6">
        <v>120.65</v>
      </c>
      <c r="N20" s="6">
        <v>118.87</v>
      </c>
      <c r="O20" s="6">
        <v>120.25</v>
      </c>
      <c r="P20" s="6">
        <v>119.89</v>
      </c>
      <c r="Q20" s="6">
        <v>119.13</v>
      </c>
      <c r="R20" s="6">
        <v>119.86</v>
      </c>
      <c r="S20" s="6">
        <v>119.36</v>
      </c>
      <c r="T20" s="6">
        <v>118.92</v>
      </c>
      <c r="U20" s="6">
        <v>119.19</v>
      </c>
      <c r="V20" s="6">
        <v>118.76</v>
      </c>
      <c r="W20" s="6">
        <v>119.09</v>
      </c>
      <c r="X20" s="6">
        <v>119.28</v>
      </c>
      <c r="Y20" s="6">
        <v>118.67</v>
      </c>
      <c r="Z20" s="6">
        <v>118.69</v>
      </c>
      <c r="AA20" s="6">
        <v>118.66</v>
      </c>
      <c r="AB20" s="6">
        <v>119.78</v>
      </c>
      <c r="AC20" s="6">
        <v>119.36</v>
      </c>
      <c r="AD20" s="6">
        <v>119.14</v>
      </c>
      <c r="AE20" s="6">
        <v>119</v>
      </c>
      <c r="AF20" s="6">
        <v>119.76</v>
      </c>
      <c r="AG20" s="6">
        <v>120.29</v>
      </c>
      <c r="AH20" s="6">
        <v>120.54</v>
      </c>
      <c r="AI20" s="6">
        <v>121.28</v>
      </c>
      <c r="AJ20" s="6">
        <v>119.86</v>
      </c>
      <c r="AK20" s="6">
        <v>120.08</v>
      </c>
      <c r="AL20" s="6">
        <v>120.29</v>
      </c>
      <c r="AM20" s="6">
        <v>119.03</v>
      </c>
      <c r="AN20" s="6">
        <v>119.51</v>
      </c>
      <c r="AO20" s="6">
        <v>119.52</v>
      </c>
      <c r="AP20" s="6">
        <v>119.59</v>
      </c>
      <c r="AQ20" s="6">
        <v>119.4</v>
      </c>
      <c r="AR20" s="6">
        <v>118.84</v>
      </c>
      <c r="AS20" s="6">
        <v>118.94</v>
      </c>
      <c r="AT20" s="6">
        <v>117.89</v>
      </c>
      <c r="AU20" s="6">
        <v>117.65</v>
      </c>
      <c r="AV20" s="6">
        <v>116.56</v>
      </c>
      <c r="AW20" s="6">
        <v>116.16</v>
      </c>
      <c r="AX20" s="6">
        <v>117.36</v>
      </c>
      <c r="AY20" s="6">
        <v>116.38</v>
      </c>
      <c r="AZ20" s="6">
        <v>115.88</v>
      </c>
      <c r="BA20" s="6">
        <v>116.18</v>
      </c>
      <c r="BB20" s="6">
        <v>115.28</v>
      </c>
      <c r="BC20" s="6">
        <v>115.9</v>
      </c>
      <c r="BD20" s="6">
        <v>114.96</v>
      </c>
      <c r="BE20" s="6">
        <v>115.59</v>
      </c>
      <c r="BF20" s="6">
        <v>116.1</v>
      </c>
      <c r="BG20" s="6">
        <v>115.81</v>
      </c>
      <c r="BH20" s="6">
        <v>114.37</v>
      </c>
      <c r="BI20" s="6">
        <v>115.86</v>
      </c>
      <c r="BJ20" s="6">
        <v>116.6</v>
      </c>
      <c r="BK20" s="6">
        <v>115.89</v>
      </c>
      <c r="BL20" s="6">
        <v>116.58</v>
      </c>
      <c r="BM20" s="6">
        <v>114.49</v>
      </c>
      <c r="BN20">
        <v>114.27</v>
      </c>
      <c r="BO20">
        <v>115.27</v>
      </c>
      <c r="BP20">
        <v>116.81</v>
      </c>
      <c r="BQ20">
        <v>116.31</v>
      </c>
      <c r="BR20">
        <v>116.45</v>
      </c>
      <c r="BS20">
        <v>115.25</v>
      </c>
      <c r="BT20">
        <v>115.4</v>
      </c>
      <c r="BU20">
        <v>115.85</v>
      </c>
      <c r="BV20">
        <v>117.44</v>
      </c>
      <c r="BW20">
        <v>117.89</v>
      </c>
      <c r="BX20">
        <v>119.63</v>
      </c>
      <c r="BY20">
        <v>117.68</v>
      </c>
      <c r="BZ20">
        <v>117.69</v>
      </c>
      <c r="CA20" s="6">
        <v>118.057625</v>
      </c>
      <c r="CB20" s="6">
        <v>115.807579</v>
      </c>
      <c r="CC20" s="6">
        <v>113.886078</v>
      </c>
      <c r="CD20" s="6">
        <v>113.27876999999999</v>
      </c>
      <c r="CE20" s="6">
        <v>109.913658</v>
      </c>
      <c r="CF20" s="6">
        <v>107.20564299999999</v>
      </c>
      <c r="CG20" s="6">
        <v>115.369514</v>
      </c>
      <c r="CH20" s="6">
        <v>112.412605</v>
      </c>
      <c r="CI20" s="6">
        <v>116.25559199999999</v>
      </c>
      <c r="CJ20" s="6">
        <v>115.40934</v>
      </c>
      <c r="CK20" s="6">
        <v>116.713577</v>
      </c>
      <c r="CL20" s="6">
        <v>116.643883</v>
      </c>
      <c r="CM20" s="6">
        <v>119.262299</v>
      </c>
      <c r="CN20" s="6">
        <v>113.92590300000001</v>
      </c>
      <c r="CO20" s="6">
        <v>103.59163700000001</v>
      </c>
      <c r="CP20" s="6">
        <v>113.597359</v>
      </c>
      <c r="CQ20" s="6">
        <v>106.28969600000001</v>
      </c>
      <c r="CR20" s="6">
        <v>118.734634</v>
      </c>
      <c r="CS20" s="6">
        <v>122.040009</v>
      </c>
      <c r="CT20" s="6">
        <v>119.449997</v>
      </c>
      <c r="CU20" s="6">
        <v>113.970001</v>
      </c>
      <c r="CV20" s="6">
        <v>114.279999</v>
      </c>
      <c r="CW20" s="6">
        <v>115.029999</v>
      </c>
      <c r="CX20" s="6">
        <v>109.400002</v>
      </c>
      <c r="CY20" s="6">
        <v>109.82</v>
      </c>
      <c r="CZ20" s="6">
        <v>109.58000199999999</v>
      </c>
      <c r="DA20" s="6">
        <v>115.19000200000001</v>
      </c>
      <c r="DB20" s="6">
        <v>113.620003</v>
      </c>
    </row>
    <row r="21" spans="1:106">
      <c r="A21" s="3" t="s">
        <v>18</v>
      </c>
      <c r="B21">
        <v>349</v>
      </c>
      <c r="C21" s="6">
        <v>68.599999999999994</v>
      </c>
      <c r="D21" s="6">
        <v>66.81</v>
      </c>
      <c r="E21" s="6">
        <v>65.41</v>
      </c>
      <c r="F21" s="6">
        <v>65.959999999999994</v>
      </c>
      <c r="G21" s="6">
        <v>66.52</v>
      </c>
      <c r="H21" s="6">
        <v>66.87</v>
      </c>
      <c r="I21" s="6">
        <v>66.63</v>
      </c>
      <c r="J21" s="6">
        <v>66.540000000000006</v>
      </c>
      <c r="K21" s="6">
        <v>66.64</v>
      </c>
      <c r="L21" s="6">
        <v>66.88</v>
      </c>
      <c r="M21" s="6">
        <v>66.64</v>
      </c>
      <c r="N21" s="6">
        <v>66.37</v>
      </c>
      <c r="O21" s="6">
        <v>67.13</v>
      </c>
      <c r="P21" s="6">
        <v>67.16</v>
      </c>
      <c r="Q21" s="6">
        <v>67.209999999999994</v>
      </c>
      <c r="R21" s="6">
        <v>66.75</v>
      </c>
      <c r="S21" s="6">
        <v>66.709999999999994</v>
      </c>
      <c r="T21" s="6">
        <v>66.98</v>
      </c>
      <c r="U21" s="6">
        <v>67.790000000000006</v>
      </c>
      <c r="V21" s="6">
        <v>67.680000000000007</v>
      </c>
      <c r="W21" s="6">
        <v>67.819999999999993</v>
      </c>
      <c r="X21" s="6">
        <v>67.569999999999993</v>
      </c>
      <c r="Y21" s="6">
        <v>67.3</v>
      </c>
      <c r="Z21" s="6">
        <v>68.08</v>
      </c>
      <c r="AA21" s="6">
        <v>67.819999999999993</v>
      </c>
      <c r="AB21" s="6">
        <v>68.239999999999995</v>
      </c>
      <c r="AC21" s="6">
        <v>68.599999999999994</v>
      </c>
      <c r="AD21" s="6">
        <v>67.930000000000007</v>
      </c>
      <c r="AE21" s="6">
        <v>67.459999999999994</v>
      </c>
      <c r="AF21" s="6">
        <v>67.23</v>
      </c>
      <c r="AG21" s="6">
        <v>68.69</v>
      </c>
      <c r="AH21" s="6">
        <v>68.87</v>
      </c>
      <c r="AI21" s="6">
        <v>67.84</v>
      </c>
      <c r="AJ21" s="6">
        <v>68.27</v>
      </c>
      <c r="AK21" s="6">
        <v>68.34</v>
      </c>
      <c r="AL21" s="6">
        <v>68.849999999999994</v>
      </c>
      <c r="AM21" s="6">
        <v>68.72</v>
      </c>
      <c r="AN21" s="6">
        <v>68.55</v>
      </c>
      <c r="AO21" s="6">
        <v>68.58</v>
      </c>
      <c r="AP21" s="6">
        <v>69.180000000000007</v>
      </c>
      <c r="AQ21" s="6">
        <v>68.790000000000006</v>
      </c>
      <c r="AR21" s="6">
        <v>68.84</v>
      </c>
      <c r="AS21" s="6">
        <v>68.12</v>
      </c>
      <c r="AT21" s="6">
        <v>68.02</v>
      </c>
      <c r="AU21" s="6">
        <v>68.489999999999995</v>
      </c>
      <c r="AV21" s="6">
        <v>67.55</v>
      </c>
      <c r="AW21" s="6">
        <v>69.27</v>
      </c>
      <c r="AX21" s="6">
        <v>69.86</v>
      </c>
      <c r="AY21" s="6">
        <v>70.150000000000006</v>
      </c>
      <c r="AZ21" s="6">
        <v>70.14</v>
      </c>
      <c r="BA21" s="6">
        <v>70.290000000000006</v>
      </c>
      <c r="BB21" s="6">
        <v>70.8</v>
      </c>
      <c r="BC21" s="6">
        <v>70.75</v>
      </c>
      <c r="BD21" s="6">
        <v>71.180000000000007</v>
      </c>
      <c r="BE21" s="6">
        <v>71.290000000000006</v>
      </c>
      <c r="BF21" s="6">
        <v>70.53</v>
      </c>
      <c r="BG21" s="6">
        <v>70.61</v>
      </c>
      <c r="BH21" s="6">
        <v>70.3</v>
      </c>
      <c r="BI21" s="6">
        <v>70.099999999999994</v>
      </c>
      <c r="BJ21" s="6">
        <v>69.709999999999994</v>
      </c>
      <c r="BK21" s="6">
        <v>68.83</v>
      </c>
      <c r="BL21" s="6">
        <v>69.47</v>
      </c>
      <c r="BM21" s="6">
        <v>73.78</v>
      </c>
      <c r="BN21">
        <v>74.930000000000007</v>
      </c>
      <c r="BO21">
        <v>75.400000000000006</v>
      </c>
      <c r="BP21">
        <v>75.73</v>
      </c>
      <c r="BQ21">
        <v>76.31</v>
      </c>
      <c r="BR21">
        <v>76.03</v>
      </c>
      <c r="BS21">
        <v>77.349999999999994</v>
      </c>
      <c r="BT21">
        <v>76.11</v>
      </c>
      <c r="BU21">
        <v>75.95</v>
      </c>
      <c r="BV21">
        <v>76.37</v>
      </c>
      <c r="BW21">
        <v>76.69</v>
      </c>
      <c r="BX21">
        <v>76.069999999999993</v>
      </c>
      <c r="BY21">
        <v>75.540000000000006</v>
      </c>
      <c r="BZ21">
        <v>75.16</v>
      </c>
      <c r="CA21" s="6">
        <v>76.269997000000004</v>
      </c>
      <c r="CB21" s="6">
        <v>74.419998000000007</v>
      </c>
      <c r="CC21" s="6">
        <v>73.800003000000004</v>
      </c>
      <c r="CD21" s="6">
        <v>72.919998000000007</v>
      </c>
      <c r="CE21" s="6">
        <v>70.150002000000001</v>
      </c>
      <c r="CF21" s="6">
        <v>67.569999999999993</v>
      </c>
      <c r="CG21" s="6">
        <v>72.440002000000007</v>
      </c>
      <c r="CH21" s="6">
        <v>71.779999000000004</v>
      </c>
      <c r="CI21" s="6">
        <v>75.370002999999997</v>
      </c>
      <c r="CJ21" s="6">
        <v>72.339995999999999</v>
      </c>
      <c r="CK21" s="6">
        <v>72.510002</v>
      </c>
      <c r="CL21" s="6">
        <v>69.989998</v>
      </c>
      <c r="CM21" s="6">
        <v>71.809997999999993</v>
      </c>
      <c r="CN21" s="6">
        <v>68.900002000000001</v>
      </c>
      <c r="CO21" s="6">
        <v>63.889999000000003</v>
      </c>
      <c r="CP21" s="6">
        <v>69.099997999999999</v>
      </c>
      <c r="CQ21" s="6">
        <v>62.34</v>
      </c>
      <c r="CR21" s="6">
        <v>70.199996999999996</v>
      </c>
      <c r="CS21" s="6">
        <v>67.690002000000007</v>
      </c>
      <c r="CT21" s="6">
        <v>66.650002000000001</v>
      </c>
      <c r="CU21" s="6">
        <v>62.080002</v>
      </c>
      <c r="CV21" s="6">
        <v>60.470001000000003</v>
      </c>
      <c r="CW21" s="6">
        <v>61.18</v>
      </c>
      <c r="CX21" s="6">
        <v>59.889999000000003</v>
      </c>
      <c r="CY21" s="6">
        <v>63.82</v>
      </c>
      <c r="CZ21" s="6">
        <v>65.260002</v>
      </c>
      <c r="DA21" s="6">
        <v>66.580001999999993</v>
      </c>
      <c r="DB21" s="6">
        <v>66.360000999999997</v>
      </c>
    </row>
    <row r="22" spans="1:106">
      <c r="A22" s="3" t="s">
        <v>19</v>
      </c>
      <c r="B22">
        <v>142</v>
      </c>
      <c r="C22" s="6">
        <v>84.45</v>
      </c>
      <c r="D22" s="6">
        <v>82</v>
      </c>
      <c r="E22" s="6">
        <v>79.790000000000006</v>
      </c>
      <c r="F22" s="6">
        <v>81.45</v>
      </c>
      <c r="G22" s="6">
        <v>80.73</v>
      </c>
      <c r="H22" s="6">
        <v>78.989999999999995</v>
      </c>
      <c r="I22" s="6">
        <v>79.95</v>
      </c>
      <c r="J22" s="6">
        <v>76.790000000000006</v>
      </c>
      <c r="K22" s="6">
        <v>78.27</v>
      </c>
      <c r="L22" s="6">
        <v>79.015000000000001</v>
      </c>
      <c r="M22" s="6">
        <v>80.430000000000007</v>
      </c>
      <c r="N22" s="6">
        <v>80.81</v>
      </c>
      <c r="O22" s="6">
        <v>79.72</v>
      </c>
      <c r="P22" s="6">
        <v>77.349999999999994</v>
      </c>
      <c r="Q22" s="6">
        <v>78.12</v>
      </c>
      <c r="R22" s="6">
        <v>78.62</v>
      </c>
      <c r="S22" s="6">
        <v>77.34</v>
      </c>
      <c r="T22" s="6">
        <v>77.28</v>
      </c>
      <c r="U22" s="6">
        <v>79.430000000000007</v>
      </c>
      <c r="V22" s="6">
        <v>81.66</v>
      </c>
      <c r="W22" s="6">
        <v>82.96</v>
      </c>
      <c r="X22" s="6">
        <v>79.27</v>
      </c>
      <c r="Y22" s="6">
        <v>76.16</v>
      </c>
      <c r="Z22" s="6">
        <v>73.89</v>
      </c>
      <c r="AA22" s="6">
        <v>73.66</v>
      </c>
      <c r="AB22" s="6">
        <v>76.22</v>
      </c>
      <c r="AC22" s="6">
        <v>74.05</v>
      </c>
      <c r="AD22" s="6">
        <v>74.650000000000006</v>
      </c>
      <c r="AE22" s="6">
        <v>75.900000000000006</v>
      </c>
      <c r="AF22" s="6">
        <v>75.23</v>
      </c>
      <c r="AG22" s="6">
        <v>75.02</v>
      </c>
      <c r="AH22" s="6">
        <v>73.599999999999994</v>
      </c>
      <c r="AI22" s="6">
        <v>76.33</v>
      </c>
      <c r="AJ22" s="6">
        <v>77.3</v>
      </c>
      <c r="AK22" s="6">
        <v>77.36</v>
      </c>
      <c r="AL22" s="6">
        <v>76.84</v>
      </c>
      <c r="AM22" s="6">
        <v>77.739999999999995</v>
      </c>
      <c r="AN22" s="6">
        <v>77.73</v>
      </c>
      <c r="AO22" s="6">
        <v>76.400000000000006</v>
      </c>
      <c r="AP22" s="6">
        <v>75.64</v>
      </c>
      <c r="AQ22" s="6">
        <v>74.150000000000006</v>
      </c>
      <c r="AR22" s="6">
        <v>75.599999999999994</v>
      </c>
      <c r="AS22" s="6">
        <v>75.64</v>
      </c>
      <c r="AT22" s="6">
        <v>75.41</v>
      </c>
      <c r="AU22" s="6">
        <v>74.59</v>
      </c>
      <c r="AV22" s="6">
        <v>83.89</v>
      </c>
      <c r="AW22" s="6">
        <v>81.48</v>
      </c>
      <c r="AX22" s="6">
        <v>90.25</v>
      </c>
      <c r="AY22" s="6">
        <v>96.07</v>
      </c>
      <c r="AZ22" s="6">
        <v>114.34</v>
      </c>
      <c r="BA22" s="6">
        <v>117.05</v>
      </c>
      <c r="BB22" s="6">
        <v>107.08</v>
      </c>
      <c r="BC22" s="6">
        <v>110.4</v>
      </c>
      <c r="BD22" s="6">
        <v>109.12</v>
      </c>
      <c r="BE22" s="6">
        <v>129.18</v>
      </c>
      <c r="BF22" s="6">
        <v>122.4</v>
      </c>
      <c r="BG22" s="6">
        <v>118.64</v>
      </c>
      <c r="BH22" s="6">
        <v>119.49</v>
      </c>
      <c r="BI22" s="6">
        <v>124.75</v>
      </c>
      <c r="BJ22" s="6">
        <v>120.12</v>
      </c>
      <c r="BK22" s="6">
        <v>114.88</v>
      </c>
      <c r="BL22" s="6">
        <v>117.29</v>
      </c>
      <c r="BM22" s="6">
        <v>110.42</v>
      </c>
      <c r="BN22">
        <v>106</v>
      </c>
      <c r="BO22">
        <v>110.43</v>
      </c>
      <c r="BP22">
        <v>110.17</v>
      </c>
      <c r="BQ22">
        <v>111.89</v>
      </c>
      <c r="BR22">
        <v>116.44</v>
      </c>
      <c r="BS22">
        <v>119.73</v>
      </c>
      <c r="BT22">
        <v>117.14</v>
      </c>
      <c r="BU22">
        <v>114.73</v>
      </c>
      <c r="BV22">
        <v>112.01</v>
      </c>
      <c r="BW22">
        <v>116.22</v>
      </c>
      <c r="BX22">
        <v>122.03</v>
      </c>
      <c r="BY22">
        <v>126.1</v>
      </c>
      <c r="BZ22">
        <v>120.58</v>
      </c>
      <c r="CA22" s="6">
        <v>117.449997</v>
      </c>
      <c r="CB22" s="6">
        <v>113.959999</v>
      </c>
      <c r="CC22" s="6">
        <v>109.91999800000001</v>
      </c>
      <c r="CD22" s="6">
        <v>112.510002</v>
      </c>
      <c r="CE22" s="6">
        <v>106.139999</v>
      </c>
      <c r="CF22" s="6">
        <v>89.650002000000001</v>
      </c>
      <c r="CG22" s="6">
        <v>96.099997999999999</v>
      </c>
      <c r="CH22" s="6">
        <v>95.43</v>
      </c>
      <c r="CI22" s="6">
        <v>101.889999</v>
      </c>
      <c r="CJ22" s="6">
        <v>95.870002999999997</v>
      </c>
      <c r="CK22" s="6">
        <v>96.089995999999999</v>
      </c>
      <c r="CL22" s="6">
        <v>87.959998999999996</v>
      </c>
      <c r="CM22" s="6">
        <v>90.980002999999996</v>
      </c>
      <c r="CN22" s="6">
        <v>82.639999000000003</v>
      </c>
      <c r="CO22" s="6">
        <v>74</v>
      </c>
      <c r="CP22" s="6">
        <v>73.059997999999993</v>
      </c>
      <c r="CQ22" s="6">
        <v>61.549999</v>
      </c>
      <c r="CR22" s="6">
        <v>60.32</v>
      </c>
      <c r="CS22" s="6">
        <v>54.02</v>
      </c>
      <c r="CT22" s="6">
        <v>57.330002</v>
      </c>
      <c r="CU22" s="6">
        <v>57.990001999999997</v>
      </c>
      <c r="CV22" s="6">
        <v>57.549999</v>
      </c>
      <c r="CW22" s="6">
        <v>67.430000000000007</v>
      </c>
      <c r="CX22" s="6">
        <v>73</v>
      </c>
      <c r="CY22" s="6">
        <v>71.099997999999999</v>
      </c>
      <c r="CZ22" s="6">
        <v>66.120002999999997</v>
      </c>
      <c r="DA22" s="6">
        <v>66.089995999999999</v>
      </c>
      <c r="DB22" s="6">
        <v>66.599997999999999</v>
      </c>
    </row>
    <row r="23" spans="1:106">
      <c r="A23" s="2" t="s">
        <v>20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</row>
    <row r="24" spans="1:106">
      <c r="A24" s="3" t="s">
        <v>206</v>
      </c>
      <c r="B24">
        <v>465</v>
      </c>
      <c r="C24" s="6">
        <v>57.97</v>
      </c>
      <c r="D24" s="6">
        <v>58.64</v>
      </c>
      <c r="E24" s="6">
        <v>59.44</v>
      </c>
      <c r="F24" s="6">
        <v>60.16</v>
      </c>
      <c r="G24" s="6">
        <v>59.87</v>
      </c>
      <c r="H24" s="6">
        <v>60.37</v>
      </c>
      <c r="I24" s="6">
        <v>60.25</v>
      </c>
      <c r="J24" s="6">
        <v>60.18</v>
      </c>
      <c r="K24" s="6">
        <v>59.89</v>
      </c>
      <c r="L24" s="6">
        <v>60.29</v>
      </c>
      <c r="M24" s="6">
        <v>59.13</v>
      </c>
      <c r="N24" s="6">
        <v>59.57</v>
      </c>
      <c r="O24" s="6">
        <v>59.42</v>
      </c>
      <c r="P24" s="6">
        <v>58.73</v>
      </c>
      <c r="Q24" s="6">
        <v>58.44</v>
      </c>
      <c r="R24" s="6">
        <v>58.67</v>
      </c>
      <c r="S24" s="6">
        <v>58.44</v>
      </c>
      <c r="T24" s="6">
        <v>58.64</v>
      </c>
      <c r="U24" s="6">
        <v>57.97</v>
      </c>
      <c r="V24" s="6">
        <v>57.8</v>
      </c>
      <c r="W24" s="6">
        <v>57.49</v>
      </c>
      <c r="X24" s="6">
        <v>57.13</v>
      </c>
      <c r="Y24" s="6">
        <v>56.21</v>
      </c>
      <c r="Z24" s="6">
        <v>56.84</v>
      </c>
      <c r="AA24" s="6">
        <v>56.49</v>
      </c>
      <c r="AB24" s="6">
        <v>57.29</v>
      </c>
      <c r="AC24" s="6">
        <v>57.27</v>
      </c>
      <c r="AD24" s="6">
        <v>57.36</v>
      </c>
      <c r="AE24" s="6">
        <v>57.4</v>
      </c>
      <c r="AF24" s="6">
        <v>57.76</v>
      </c>
      <c r="AG24" s="6">
        <v>57.44</v>
      </c>
      <c r="AH24" s="6">
        <v>58.16</v>
      </c>
      <c r="AI24" s="6">
        <v>58.47</v>
      </c>
      <c r="AJ24" s="6">
        <v>58.52</v>
      </c>
      <c r="AK24" s="6">
        <v>58.9</v>
      </c>
      <c r="AL24" s="6">
        <v>58.18</v>
      </c>
      <c r="AM24" s="6">
        <v>58.8</v>
      </c>
      <c r="AN24" s="6">
        <v>58.7</v>
      </c>
      <c r="AO24" s="6">
        <v>58.87</v>
      </c>
      <c r="AP24" s="6">
        <v>59.09</v>
      </c>
      <c r="AQ24" s="6">
        <v>58.68</v>
      </c>
      <c r="AR24" s="6">
        <v>58.98</v>
      </c>
      <c r="AS24" s="6">
        <v>59.74</v>
      </c>
      <c r="AT24" s="6">
        <v>60.21</v>
      </c>
      <c r="AU24" s="6">
        <v>60.96</v>
      </c>
      <c r="AV24" s="6">
        <v>60.4</v>
      </c>
      <c r="AW24" s="6">
        <v>59.69</v>
      </c>
      <c r="AX24" s="6">
        <v>59.68</v>
      </c>
      <c r="AY24" s="6">
        <v>59.01</v>
      </c>
      <c r="AZ24" s="6">
        <v>58.96</v>
      </c>
      <c r="BA24" s="6">
        <v>58.92</v>
      </c>
      <c r="BB24" s="6">
        <v>58.82</v>
      </c>
      <c r="BC24" s="6">
        <v>58.77</v>
      </c>
      <c r="BD24" s="6">
        <v>58.54</v>
      </c>
      <c r="BE24" s="6">
        <v>57.46</v>
      </c>
      <c r="BF24" s="6">
        <v>57.44</v>
      </c>
      <c r="BG24" s="6">
        <v>57.4</v>
      </c>
      <c r="BH24" s="6">
        <v>57.17</v>
      </c>
      <c r="BI24" s="6">
        <v>56.09</v>
      </c>
      <c r="BJ24" s="6">
        <v>55.92</v>
      </c>
      <c r="BK24" s="6">
        <v>55.73</v>
      </c>
      <c r="BL24" s="6">
        <v>53.84</v>
      </c>
      <c r="BM24" s="6">
        <v>52.15</v>
      </c>
      <c r="BN24">
        <v>51.24</v>
      </c>
      <c r="BO24">
        <v>51.65</v>
      </c>
      <c r="BP24">
        <v>52.95</v>
      </c>
      <c r="BQ24">
        <v>52.14</v>
      </c>
      <c r="BR24">
        <v>51.79</v>
      </c>
      <c r="BS24">
        <v>51.39</v>
      </c>
      <c r="BT24">
        <v>51.99</v>
      </c>
      <c r="BU24">
        <v>52.65</v>
      </c>
      <c r="BV24">
        <v>50.99</v>
      </c>
      <c r="BW24">
        <v>50.49</v>
      </c>
      <c r="BX24">
        <v>50.21</v>
      </c>
      <c r="BY24">
        <v>50.22</v>
      </c>
      <c r="BZ24">
        <v>49.62</v>
      </c>
      <c r="CA24" s="6">
        <v>49.169998</v>
      </c>
      <c r="CB24" s="6">
        <v>47.279998999999997</v>
      </c>
      <c r="CC24" s="6">
        <v>45.900002000000001</v>
      </c>
      <c r="CD24" s="6">
        <v>45.75</v>
      </c>
      <c r="CE24" s="6">
        <v>43.939999</v>
      </c>
      <c r="CF24" s="6">
        <v>44.029998999999997</v>
      </c>
      <c r="CG24" s="6">
        <v>44.830002</v>
      </c>
      <c r="CH24" s="6">
        <v>43.959999000000003</v>
      </c>
      <c r="CI24" s="6">
        <v>45.299999</v>
      </c>
      <c r="CJ24" s="6">
        <v>43.73</v>
      </c>
      <c r="CK24" s="6">
        <v>41.869999</v>
      </c>
      <c r="CL24" s="6">
        <v>34.68</v>
      </c>
      <c r="CM24" s="6">
        <v>36.959999000000003</v>
      </c>
      <c r="CN24" s="6">
        <v>34.490001999999997</v>
      </c>
      <c r="CO24" s="6">
        <v>29.33</v>
      </c>
      <c r="CP24" s="6">
        <v>30.08</v>
      </c>
      <c r="CQ24" s="6">
        <v>25.32</v>
      </c>
      <c r="CR24" s="6">
        <v>25.66</v>
      </c>
      <c r="CS24" s="6">
        <v>21.620000999999998</v>
      </c>
      <c r="CT24" s="6">
        <v>24.040001</v>
      </c>
      <c r="CU24" s="6">
        <v>25.08</v>
      </c>
      <c r="CV24" s="6">
        <v>26.83</v>
      </c>
      <c r="CW24" s="6">
        <v>32.110000999999997</v>
      </c>
      <c r="CX24" s="6">
        <v>34.340000000000003</v>
      </c>
      <c r="CY24" s="6">
        <v>34.93</v>
      </c>
      <c r="CZ24" s="6">
        <v>31.639999</v>
      </c>
      <c r="DA24" s="6">
        <v>33.439999</v>
      </c>
      <c r="DB24" s="6">
        <v>34.889999000000003</v>
      </c>
    </row>
    <row r="25" spans="1:106">
      <c r="A25" s="3" t="s">
        <v>22</v>
      </c>
      <c r="B25">
        <v>86</v>
      </c>
      <c r="C25" s="6">
        <v>69.31</v>
      </c>
      <c r="D25" s="6">
        <v>71.150000000000006</v>
      </c>
      <c r="E25" s="6">
        <v>73.69</v>
      </c>
      <c r="F25" s="6">
        <v>74.010000000000005</v>
      </c>
      <c r="G25" s="6">
        <v>71.42</v>
      </c>
      <c r="H25" s="6">
        <v>74.739999999999995</v>
      </c>
      <c r="I25" s="6">
        <v>74.7</v>
      </c>
      <c r="J25" s="6">
        <v>73.819999999999993</v>
      </c>
      <c r="K25" s="6">
        <v>73.290000000000006</v>
      </c>
      <c r="L25" s="6">
        <v>72.61</v>
      </c>
      <c r="M25" s="6">
        <v>72.349999999999994</v>
      </c>
      <c r="N25" s="6">
        <v>73.48</v>
      </c>
      <c r="O25" s="6">
        <v>71.260000000000005</v>
      </c>
      <c r="P25" s="6">
        <v>70.400000000000006</v>
      </c>
      <c r="Q25" s="6">
        <v>72.06</v>
      </c>
      <c r="R25" s="6">
        <v>73.319999999999993</v>
      </c>
      <c r="S25" s="6">
        <v>72.989999999999995</v>
      </c>
      <c r="T25" s="6">
        <v>73.52</v>
      </c>
      <c r="U25" s="6">
        <v>71.91</v>
      </c>
      <c r="V25" s="6">
        <v>72.349999999999994</v>
      </c>
      <c r="W25" s="6">
        <v>70.900000000000006</v>
      </c>
      <c r="X25" s="6">
        <v>70.790000000000006</v>
      </c>
      <c r="Y25" s="6">
        <v>68.78</v>
      </c>
      <c r="Z25" s="6">
        <v>72.05</v>
      </c>
      <c r="AA25" s="6">
        <v>70.59</v>
      </c>
      <c r="AB25" s="6">
        <v>73.959999999999994</v>
      </c>
      <c r="AC25" s="6">
        <v>74.510000000000005</v>
      </c>
      <c r="AD25" s="6">
        <v>74.84</v>
      </c>
      <c r="AE25" s="6">
        <v>74.67</v>
      </c>
      <c r="AF25" s="6">
        <v>76.709999999999994</v>
      </c>
      <c r="AG25" s="6">
        <v>75.489999999999995</v>
      </c>
      <c r="AH25" s="6">
        <v>77.91</v>
      </c>
      <c r="AI25" s="6">
        <v>78.81</v>
      </c>
      <c r="AJ25" s="6">
        <v>80.59</v>
      </c>
      <c r="AK25" s="6">
        <v>81.25</v>
      </c>
      <c r="AL25" s="6">
        <v>82.66</v>
      </c>
      <c r="AM25" s="6">
        <v>83.38</v>
      </c>
      <c r="AN25" s="6">
        <v>83.81</v>
      </c>
      <c r="AO25" s="6">
        <v>83.65</v>
      </c>
      <c r="AP25" s="6">
        <v>83.14</v>
      </c>
      <c r="AQ25" s="6">
        <v>82.39</v>
      </c>
      <c r="AR25" s="6">
        <v>83.76</v>
      </c>
      <c r="AS25" s="6">
        <v>84.14</v>
      </c>
      <c r="AT25" s="6">
        <v>84.99</v>
      </c>
      <c r="AU25" s="6">
        <v>88.44</v>
      </c>
      <c r="AV25" s="6">
        <v>89.29</v>
      </c>
      <c r="AW25" s="6">
        <v>87.34</v>
      </c>
      <c r="AX25" s="6">
        <v>88.25</v>
      </c>
      <c r="AY25" s="6">
        <v>86.27</v>
      </c>
      <c r="AZ25" s="6">
        <v>85.52</v>
      </c>
      <c r="BA25" s="6">
        <v>86.33</v>
      </c>
      <c r="BB25" s="6">
        <v>86.74</v>
      </c>
      <c r="BC25" s="6">
        <v>87.02</v>
      </c>
      <c r="BD25" s="6">
        <v>85.31</v>
      </c>
      <c r="BE25" s="6">
        <v>84.04</v>
      </c>
      <c r="BF25" s="6">
        <v>83.09</v>
      </c>
      <c r="BG25" s="6">
        <v>81.83</v>
      </c>
      <c r="BH25" s="6">
        <v>79.849999999999994</v>
      </c>
      <c r="BI25" s="6">
        <v>76.64</v>
      </c>
      <c r="BJ25" s="6">
        <v>77.05</v>
      </c>
      <c r="BK25" s="6">
        <v>75.14</v>
      </c>
      <c r="BL25" s="6">
        <v>75.819999999999993</v>
      </c>
      <c r="BM25" s="6">
        <v>72.91</v>
      </c>
      <c r="BN25">
        <v>71.37</v>
      </c>
      <c r="BO25">
        <v>73.62</v>
      </c>
      <c r="BP25">
        <v>77.05</v>
      </c>
      <c r="BQ25">
        <v>75.87</v>
      </c>
      <c r="BR25">
        <v>74.349999999999994</v>
      </c>
      <c r="BS25">
        <v>73.7</v>
      </c>
      <c r="BT25">
        <v>74.790000000000006</v>
      </c>
      <c r="BU25">
        <v>75.38</v>
      </c>
      <c r="BV25">
        <v>75.680000000000007</v>
      </c>
      <c r="BW25">
        <v>74.92</v>
      </c>
      <c r="BX25">
        <v>74.53</v>
      </c>
      <c r="BY25">
        <v>77.28</v>
      </c>
      <c r="BZ25">
        <v>75.989999999999995</v>
      </c>
      <c r="CA25" s="6">
        <v>74.209998999999996</v>
      </c>
      <c r="CB25" s="6">
        <v>69.910004000000001</v>
      </c>
      <c r="CC25" s="6">
        <v>66.989998</v>
      </c>
      <c r="CD25" s="6">
        <v>63.200001</v>
      </c>
      <c r="CE25" s="6">
        <v>60</v>
      </c>
      <c r="CF25" s="6">
        <v>63.259998000000003</v>
      </c>
      <c r="CG25" s="6">
        <v>62.860000999999997</v>
      </c>
      <c r="CH25" s="6">
        <v>62.43</v>
      </c>
      <c r="CI25" s="6">
        <v>64.080001999999993</v>
      </c>
      <c r="CJ25" s="6">
        <v>61.869999</v>
      </c>
      <c r="CK25" s="6">
        <v>55.299999</v>
      </c>
      <c r="CL25" s="6">
        <v>37.599997999999999</v>
      </c>
      <c r="CM25" s="6">
        <v>41.599997999999999</v>
      </c>
      <c r="CN25" s="6">
        <v>38.860000999999997</v>
      </c>
      <c r="CO25" s="6">
        <v>32.5</v>
      </c>
      <c r="CP25" s="6">
        <v>34.799999</v>
      </c>
      <c r="CQ25" s="6">
        <v>31.1</v>
      </c>
      <c r="CR25" s="6">
        <v>30.889999</v>
      </c>
      <c r="CS25" s="6">
        <v>29.76</v>
      </c>
      <c r="CT25" s="6">
        <v>33.220001000000003</v>
      </c>
      <c r="CU25" s="6">
        <v>34.889999000000003</v>
      </c>
      <c r="CV25" s="6">
        <v>34.540000999999997</v>
      </c>
      <c r="CW25" s="6">
        <v>39.799999</v>
      </c>
      <c r="CX25" s="6">
        <v>39.689999</v>
      </c>
      <c r="CY25" s="6">
        <v>39.529998999999997</v>
      </c>
      <c r="CZ25" s="6">
        <v>36</v>
      </c>
      <c r="DA25" s="6">
        <v>34.979999999999997</v>
      </c>
      <c r="DB25" s="6">
        <v>35.919998</v>
      </c>
    </row>
    <row r="26" spans="1:106">
      <c r="A26" s="3" t="s">
        <v>23</v>
      </c>
      <c r="B26">
        <v>490</v>
      </c>
      <c r="C26" s="6">
        <v>55.2</v>
      </c>
      <c r="D26" s="6">
        <v>57.15</v>
      </c>
      <c r="E26" s="6">
        <v>58</v>
      </c>
      <c r="F26" s="6">
        <v>58.51</v>
      </c>
      <c r="G26" s="6">
        <v>57.63</v>
      </c>
      <c r="H26" s="6">
        <v>59.54</v>
      </c>
      <c r="I26" s="6">
        <v>59.16</v>
      </c>
      <c r="J26" s="6">
        <v>58.91</v>
      </c>
      <c r="K26" s="6">
        <v>58.23</v>
      </c>
      <c r="L26" s="6">
        <v>57.56</v>
      </c>
      <c r="M26" s="6">
        <v>57.25</v>
      </c>
      <c r="N26" s="6">
        <v>58.25</v>
      </c>
      <c r="O26" s="6">
        <v>56.7</v>
      </c>
      <c r="P26" s="6">
        <v>57.17</v>
      </c>
      <c r="Q26" s="6">
        <v>59.36</v>
      </c>
      <c r="R26" s="6">
        <v>60.21</v>
      </c>
      <c r="S26" s="6">
        <v>59.9</v>
      </c>
      <c r="T26" s="6">
        <v>61.05</v>
      </c>
      <c r="U26" s="6">
        <v>60.11</v>
      </c>
      <c r="V26" s="6">
        <v>60.34</v>
      </c>
      <c r="W26" s="6">
        <v>59.94</v>
      </c>
      <c r="X26" s="6">
        <v>60.37</v>
      </c>
      <c r="Y26" s="6">
        <v>58.89</v>
      </c>
      <c r="Z26" s="6">
        <v>60.63</v>
      </c>
      <c r="AA26" s="6">
        <v>59.84</v>
      </c>
      <c r="AB26" s="6">
        <v>61.97</v>
      </c>
      <c r="AC26" s="6">
        <v>61.83</v>
      </c>
      <c r="AD26" s="6">
        <v>61.76</v>
      </c>
      <c r="AE26" s="6">
        <v>61.68</v>
      </c>
      <c r="AF26" s="6">
        <v>62.59</v>
      </c>
      <c r="AG26" s="6">
        <v>62.7</v>
      </c>
      <c r="AH26" s="6">
        <v>62.82</v>
      </c>
      <c r="AI26" s="6">
        <v>63.52</v>
      </c>
      <c r="AJ26" s="6">
        <v>63.2</v>
      </c>
      <c r="AK26" s="6">
        <v>63.19</v>
      </c>
      <c r="AL26" s="6">
        <v>63.72</v>
      </c>
      <c r="AM26" s="6">
        <v>64.599999999999994</v>
      </c>
      <c r="AN26" s="6">
        <v>64.67</v>
      </c>
      <c r="AO26" s="6">
        <v>65</v>
      </c>
      <c r="AP26" s="6">
        <v>64.98</v>
      </c>
      <c r="AQ26" s="6">
        <v>64.61</v>
      </c>
      <c r="AR26" s="6">
        <v>65.03</v>
      </c>
      <c r="AS26" s="6">
        <v>65.459999999999994</v>
      </c>
      <c r="AT26" s="6">
        <v>65.7</v>
      </c>
      <c r="AU26" s="6">
        <v>66.48</v>
      </c>
      <c r="AV26" s="6">
        <v>66.48</v>
      </c>
      <c r="AW26" s="6">
        <v>64.94</v>
      </c>
      <c r="AX26" s="6">
        <v>66.069999999999993</v>
      </c>
      <c r="AY26" s="6">
        <v>65.42</v>
      </c>
      <c r="AZ26" s="6">
        <v>65.13</v>
      </c>
      <c r="BA26" s="6">
        <v>65.14</v>
      </c>
      <c r="BB26" s="6">
        <v>65</v>
      </c>
      <c r="BC26" s="6">
        <v>65.069999999999993</v>
      </c>
      <c r="BD26" s="6">
        <v>65.069999999999993</v>
      </c>
      <c r="BE26" s="6">
        <v>64.03</v>
      </c>
      <c r="BF26" s="6">
        <v>63.01</v>
      </c>
      <c r="BG26" s="6">
        <v>63.14</v>
      </c>
      <c r="BH26" s="6">
        <v>62.62</v>
      </c>
      <c r="BI26" s="6">
        <v>61.04</v>
      </c>
      <c r="BJ26" s="6">
        <v>61.18</v>
      </c>
      <c r="BK26" s="6">
        <v>60.49</v>
      </c>
      <c r="BL26" s="6">
        <v>60.89</v>
      </c>
      <c r="BM26" s="6">
        <v>59.43</v>
      </c>
      <c r="BN26">
        <v>59.18</v>
      </c>
      <c r="BO26">
        <v>56.49</v>
      </c>
      <c r="BP26">
        <v>58.78</v>
      </c>
      <c r="BQ26">
        <v>58.41</v>
      </c>
      <c r="BR26">
        <v>57.99</v>
      </c>
      <c r="BS26">
        <v>57.87</v>
      </c>
      <c r="BT26">
        <v>58.71</v>
      </c>
      <c r="BU26">
        <v>59.76</v>
      </c>
      <c r="BV26">
        <v>58.82</v>
      </c>
      <c r="BW26">
        <v>58.62</v>
      </c>
      <c r="BX26">
        <v>58.3</v>
      </c>
      <c r="BY26">
        <v>59.26</v>
      </c>
      <c r="BZ26">
        <v>58.88</v>
      </c>
      <c r="CA26" s="6">
        <v>58.439999</v>
      </c>
      <c r="CB26" s="6">
        <v>56.380001</v>
      </c>
      <c r="CC26" s="6">
        <v>53.830002</v>
      </c>
      <c r="CD26" s="6">
        <v>51.169998</v>
      </c>
      <c r="CE26" s="6">
        <v>47.130001</v>
      </c>
      <c r="CF26" s="6">
        <v>48.419998</v>
      </c>
      <c r="CG26" s="6">
        <v>49.23</v>
      </c>
      <c r="CH26" s="6">
        <v>48.119999</v>
      </c>
      <c r="CI26" s="6">
        <v>49.43</v>
      </c>
      <c r="CJ26" s="6">
        <v>47.700001</v>
      </c>
      <c r="CK26" s="6">
        <v>45.330002</v>
      </c>
      <c r="CL26" s="6">
        <v>34.07</v>
      </c>
      <c r="CM26" s="6">
        <v>34.880001</v>
      </c>
      <c r="CN26" s="6">
        <v>32.560001</v>
      </c>
      <c r="CO26" s="6">
        <v>28.200001</v>
      </c>
      <c r="CP26" s="6">
        <v>31.379999000000002</v>
      </c>
      <c r="CQ26" s="6">
        <v>26.08</v>
      </c>
      <c r="CR26" s="6">
        <v>26.25</v>
      </c>
      <c r="CS26" s="6">
        <v>22.67</v>
      </c>
      <c r="CT26" s="6">
        <v>25.59</v>
      </c>
      <c r="CU26" s="6">
        <v>26.84</v>
      </c>
      <c r="CV26" s="6">
        <v>24.549999</v>
      </c>
      <c r="CW26" s="6">
        <v>30.74</v>
      </c>
      <c r="CX26" s="6">
        <v>30.940000999999999</v>
      </c>
      <c r="CY26" s="6">
        <v>32.090000000000003</v>
      </c>
      <c r="CZ26" s="6">
        <v>29.25</v>
      </c>
      <c r="DA26" s="6">
        <v>29.290001</v>
      </c>
      <c r="DB26" s="6">
        <v>30.799999</v>
      </c>
    </row>
    <row r="27" spans="1:106">
      <c r="A27" s="2" t="s">
        <v>24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</row>
    <row r="28" spans="1:106">
      <c r="A28" s="3" t="s">
        <v>25</v>
      </c>
      <c r="B28">
        <v>54</v>
      </c>
      <c r="C28" s="6">
        <v>461.7</v>
      </c>
      <c r="D28" s="6">
        <v>469.17</v>
      </c>
      <c r="E28" s="6">
        <v>476.53</v>
      </c>
      <c r="F28" s="6">
        <v>482.44</v>
      </c>
      <c r="G28" s="6">
        <v>489.54</v>
      </c>
      <c r="H28" s="6">
        <v>490.16</v>
      </c>
      <c r="I28" s="6">
        <v>490.21</v>
      </c>
      <c r="J28" s="6">
        <v>486.79</v>
      </c>
      <c r="K28" s="6">
        <v>486.79</v>
      </c>
      <c r="L28" s="6">
        <v>485.57</v>
      </c>
      <c r="M28" s="6">
        <v>484.59</v>
      </c>
      <c r="N28" s="6">
        <v>490.96</v>
      </c>
      <c r="O28" s="6">
        <v>491.74</v>
      </c>
      <c r="P28" s="6">
        <v>492.8</v>
      </c>
      <c r="Q28" s="6">
        <v>488.81</v>
      </c>
      <c r="R28" s="6">
        <v>484.98</v>
      </c>
      <c r="S28" s="6">
        <v>485</v>
      </c>
      <c r="T28" s="6">
        <v>491.86</v>
      </c>
      <c r="U28" s="6">
        <v>490.89</v>
      </c>
      <c r="V28" s="6">
        <v>494.21</v>
      </c>
      <c r="W28" s="6">
        <v>494.91</v>
      </c>
      <c r="X28" s="6">
        <v>489.7</v>
      </c>
      <c r="Y28" s="6">
        <v>485.76</v>
      </c>
      <c r="Z28" s="6">
        <v>486.69</v>
      </c>
      <c r="AA28" s="6">
        <v>490.3</v>
      </c>
      <c r="AB28" s="6">
        <v>495.76</v>
      </c>
      <c r="AC28" s="6">
        <v>497.07</v>
      </c>
      <c r="AD28" s="6">
        <v>494.03</v>
      </c>
      <c r="AE28" s="6">
        <v>493.91</v>
      </c>
      <c r="AF28" s="6">
        <v>502.12</v>
      </c>
      <c r="AG28" s="6">
        <v>498.61</v>
      </c>
      <c r="AH28" s="6">
        <v>502.05</v>
      </c>
      <c r="AI28" s="6">
        <v>502.29</v>
      </c>
      <c r="AJ28" s="6">
        <v>499.49</v>
      </c>
      <c r="AK28" s="6">
        <v>502.34</v>
      </c>
      <c r="AL28" s="6">
        <v>499.59</v>
      </c>
      <c r="AM28" s="6">
        <v>499.66</v>
      </c>
      <c r="AN28" s="6">
        <v>499.64</v>
      </c>
      <c r="AO28" s="6">
        <v>503.24</v>
      </c>
      <c r="AP28" s="6">
        <v>503.01</v>
      </c>
      <c r="AQ28" s="6">
        <v>500.84</v>
      </c>
      <c r="AR28" s="6">
        <v>502.7</v>
      </c>
      <c r="AS28" s="6">
        <v>508.98</v>
      </c>
      <c r="AT28" s="6">
        <v>503.57</v>
      </c>
      <c r="AU28" s="6">
        <v>504</v>
      </c>
      <c r="AV28" s="6">
        <v>507.22</v>
      </c>
      <c r="AW28" s="6">
        <v>507.1</v>
      </c>
      <c r="AX28" s="6">
        <v>513.1</v>
      </c>
      <c r="AY28" s="6">
        <v>512.17999999999995</v>
      </c>
      <c r="AZ28" s="6">
        <v>523.11</v>
      </c>
      <c r="BA28" s="6">
        <v>518.32000000000005</v>
      </c>
      <c r="BB28" s="6">
        <v>530.26</v>
      </c>
      <c r="BC28" s="6">
        <v>535</v>
      </c>
      <c r="BD28" s="6">
        <v>535.24</v>
      </c>
      <c r="BE28" s="6">
        <v>529.14</v>
      </c>
      <c r="BF28" s="6">
        <v>536.86</v>
      </c>
      <c r="BG28" s="6">
        <v>541.94000000000005</v>
      </c>
      <c r="BH28" s="6">
        <v>536.84</v>
      </c>
      <c r="BI28" s="6">
        <v>523.80999999999995</v>
      </c>
      <c r="BJ28" s="6">
        <v>529.97</v>
      </c>
      <c r="BK28" s="6">
        <v>536.49</v>
      </c>
      <c r="BL28" s="6">
        <v>539.69000000000005</v>
      </c>
      <c r="BM28" s="6">
        <v>527.35</v>
      </c>
      <c r="BN28">
        <v>530.08000000000004</v>
      </c>
      <c r="BO28">
        <v>535.24</v>
      </c>
      <c r="BP28">
        <v>543.48</v>
      </c>
      <c r="BQ28">
        <v>554.66999999999996</v>
      </c>
      <c r="BR28">
        <v>555.74</v>
      </c>
      <c r="BS28">
        <v>561.1</v>
      </c>
      <c r="BT28">
        <v>570.44000000000005</v>
      </c>
      <c r="BU28">
        <v>572.48</v>
      </c>
      <c r="BV28">
        <v>568.54999999999995</v>
      </c>
      <c r="BW28">
        <v>565.94000000000005</v>
      </c>
      <c r="BX28">
        <v>564.80999999999995</v>
      </c>
      <c r="BY28">
        <v>572.07000000000005</v>
      </c>
      <c r="BZ28">
        <v>566.91999999999996</v>
      </c>
      <c r="CA28" s="6">
        <v>552.80578600000001</v>
      </c>
      <c r="CB28" s="6">
        <v>524.02417000000003</v>
      </c>
      <c r="CC28" s="6">
        <v>502.18978900000002</v>
      </c>
      <c r="CD28" s="6">
        <v>504.64120500000001</v>
      </c>
      <c r="CE28" s="6">
        <v>472.23706099999998</v>
      </c>
      <c r="CF28" s="6">
        <v>459.523529</v>
      </c>
      <c r="CG28" s="6">
        <v>484.26580799999999</v>
      </c>
      <c r="CH28" s="6">
        <v>478.44000199999999</v>
      </c>
      <c r="CI28" s="6">
        <v>495.30999800000001</v>
      </c>
      <c r="CJ28" s="6">
        <v>472.47000100000002</v>
      </c>
      <c r="CK28" s="6">
        <v>450.41000400000001</v>
      </c>
      <c r="CL28" s="6">
        <v>419.01001000000002</v>
      </c>
      <c r="CM28" s="6">
        <v>459</v>
      </c>
      <c r="CN28" s="6">
        <v>430.97000100000002</v>
      </c>
      <c r="CO28" s="6">
        <v>386.22000100000002</v>
      </c>
      <c r="CP28" s="6">
        <v>413.77999899999998</v>
      </c>
      <c r="CQ28" s="6">
        <v>357.27999899999998</v>
      </c>
      <c r="CR28" s="6">
        <v>386.76001000000002</v>
      </c>
      <c r="CS28" s="6">
        <v>373.35998499999999</v>
      </c>
      <c r="CT28" s="6">
        <v>397.35998499999999</v>
      </c>
      <c r="CU28" s="6">
        <v>354.72000100000002</v>
      </c>
      <c r="CV28" s="6">
        <v>327.42001299999998</v>
      </c>
      <c r="CW28" s="6">
        <v>371.70001200000002</v>
      </c>
      <c r="CX28" s="6">
        <v>401.38000499999998</v>
      </c>
      <c r="CY28" s="6">
        <v>451.89999399999999</v>
      </c>
      <c r="CZ28" s="6">
        <v>434.33999599999999</v>
      </c>
      <c r="DA28" s="6">
        <v>455.35000600000001</v>
      </c>
      <c r="DB28" s="6">
        <v>439.97000100000002</v>
      </c>
    </row>
    <row r="29" spans="1:106">
      <c r="A29" s="3" t="s">
        <v>26</v>
      </c>
      <c r="B29">
        <v>118</v>
      </c>
      <c r="C29" s="6">
        <v>213.38</v>
      </c>
      <c r="D29" s="6">
        <v>217.39</v>
      </c>
      <c r="E29" s="6">
        <v>219.87</v>
      </c>
      <c r="F29" s="6">
        <v>218.64</v>
      </c>
      <c r="G29" s="6">
        <v>218.42</v>
      </c>
      <c r="H29" s="6">
        <v>223.29</v>
      </c>
      <c r="I29" s="6">
        <v>222.91</v>
      </c>
      <c r="J29" s="6">
        <v>219.03</v>
      </c>
      <c r="K29" s="6">
        <v>220.41</v>
      </c>
      <c r="L29" s="6">
        <v>219.32</v>
      </c>
      <c r="M29" s="6">
        <v>219.43</v>
      </c>
      <c r="N29" s="6">
        <v>220.25</v>
      </c>
      <c r="O29" s="6">
        <v>219.73</v>
      </c>
      <c r="P29" s="6">
        <v>220.04</v>
      </c>
      <c r="Q29" s="6">
        <v>217.91</v>
      </c>
      <c r="R29" s="6">
        <v>218.23</v>
      </c>
      <c r="S29" s="6">
        <v>220.28</v>
      </c>
      <c r="T29" s="6">
        <v>222.75</v>
      </c>
      <c r="U29" s="6">
        <v>222.45</v>
      </c>
      <c r="V29" s="6">
        <v>222.95</v>
      </c>
      <c r="W29" s="6">
        <v>221.35</v>
      </c>
      <c r="X29" s="6">
        <v>217.64</v>
      </c>
      <c r="Y29" s="6">
        <v>212.24</v>
      </c>
      <c r="Z29" s="6">
        <v>215.94</v>
      </c>
      <c r="AA29" s="6">
        <v>217.14</v>
      </c>
      <c r="AB29" s="6">
        <v>224.61</v>
      </c>
      <c r="AC29" s="6">
        <v>221.81</v>
      </c>
      <c r="AD29" s="6">
        <v>221.88</v>
      </c>
      <c r="AE29" s="6">
        <v>221.19</v>
      </c>
      <c r="AF29" s="6">
        <v>226.05</v>
      </c>
      <c r="AG29" s="6">
        <v>225</v>
      </c>
      <c r="AH29" s="6">
        <v>228.04</v>
      </c>
      <c r="AI29" s="6">
        <v>231.15</v>
      </c>
      <c r="AJ29" s="6">
        <v>230.45</v>
      </c>
      <c r="AK29" s="6">
        <v>229.94</v>
      </c>
      <c r="AL29" s="6">
        <v>228.93</v>
      </c>
      <c r="AM29" s="6">
        <v>229.09</v>
      </c>
      <c r="AN29" s="6">
        <v>229.91</v>
      </c>
      <c r="AO29" s="6">
        <v>231.21</v>
      </c>
      <c r="AP29" s="6">
        <v>230.66</v>
      </c>
      <c r="AQ29" s="6">
        <v>229.8</v>
      </c>
      <c r="AR29" s="6">
        <v>229.93</v>
      </c>
      <c r="AS29" s="6">
        <v>234.32</v>
      </c>
      <c r="AT29" s="6">
        <v>231.58</v>
      </c>
      <c r="AU29" s="6">
        <v>233.95</v>
      </c>
      <c r="AV29" s="6">
        <v>235.49</v>
      </c>
      <c r="AW29" s="6">
        <v>237.76</v>
      </c>
      <c r="AX29" s="6">
        <v>242.6</v>
      </c>
      <c r="AY29" s="6">
        <v>242.11</v>
      </c>
      <c r="AZ29" s="6">
        <v>245.21</v>
      </c>
      <c r="BA29" s="6">
        <v>245.66</v>
      </c>
      <c r="BB29" s="6">
        <v>245.21</v>
      </c>
      <c r="BC29" s="6">
        <v>249.72</v>
      </c>
      <c r="BD29" s="6">
        <v>249.46</v>
      </c>
      <c r="BE29" s="6">
        <v>245.7</v>
      </c>
      <c r="BF29" s="6">
        <v>247.05</v>
      </c>
      <c r="BG29" s="6">
        <v>245.58</v>
      </c>
      <c r="BH29" s="6">
        <v>241.92</v>
      </c>
      <c r="BI29" s="6">
        <v>238.14</v>
      </c>
      <c r="BJ29" s="6">
        <v>242.58</v>
      </c>
      <c r="BK29" s="6">
        <v>240.12</v>
      </c>
      <c r="BL29" s="6">
        <v>244.13</v>
      </c>
      <c r="BM29" s="6">
        <v>237.75</v>
      </c>
      <c r="BN29">
        <v>239.01</v>
      </c>
      <c r="BO29">
        <v>241.94</v>
      </c>
      <c r="BP29">
        <v>244.3</v>
      </c>
      <c r="BQ29">
        <v>241.82</v>
      </c>
      <c r="BR29">
        <v>238</v>
      </c>
      <c r="BS29">
        <v>237.36</v>
      </c>
      <c r="BT29">
        <v>236.46</v>
      </c>
      <c r="BU29">
        <v>238.65</v>
      </c>
      <c r="BV29">
        <v>238.35</v>
      </c>
      <c r="BW29">
        <v>237.08</v>
      </c>
      <c r="BX29">
        <v>233.21</v>
      </c>
      <c r="BY29">
        <v>237.33</v>
      </c>
      <c r="BZ29">
        <v>232.73</v>
      </c>
      <c r="CA29" s="6">
        <v>229.218491</v>
      </c>
      <c r="CB29" s="6">
        <v>223.17544599999999</v>
      </c>
      <c r="CC29" s="6">
        <v>216.287567</v>
      </c>
      <c r="CD29" s="6">
        <v>214.46867399999999</v>
      </c>
      <c r="CE29" s="6">
        <v>204.44000199999999</v>
      </c>
      <c r="CF29" s="6">
        <v>200.770004</v>
      </c>
      <c r="CG29" s="6">
        <v>209.470001</v>
      </c>
      <c r="CH29" s="6">
        <v>203.429993</v>
      </c>
      <c r="CI29" s="6">
        <v>208.740005</v>
      </c>
      <c r="CJ29" s="6">
        <v>198.78999300000001</v>
      </c>
      <c r="CK29" s="6">
        <v>192.85000600000001</v>
      </c>
      <c r="CL29" s="6">
        <v>172.80999800000001</v>
      </c>
      <c r="CM29" s="6">
        <v>184.35000600000001</v>
      </c>
      <c r="CN29" s="6">
        <v>171.88999899999999</v>
      </c>
      <c r="CO29" s="6">
        <v>150.679993</v>
      </c>
      <c r="CP29" s="6">
        <v>177.16999799999999</v>
      </c>
      <c r="CQ29" s="6">
        <v>154.66000399999999</v>
      </c>
      <c r="CR29" s="6">
        <v>158.66999799999999</v>
      </c>
      <c r="CS29" s="6">
        <v>140.020004</v>
      </c>
      <c r="CT29" s="6">
        <v>149.490005</v>
      </c>
      <c r="CU29" s="6">
        <v>138.41000399999999</v>
      </c>
      <c r="CV29" s="6">
        <v>134.970001</v>
      </c>
      <c r="CW29" s="6">
        <v>153.60000600000001</v>
      </c>
      <c r="CX29" s="6">
        <v>155.13000500000001</v>
      </c>
      <c r="CY29" s="6">
        <v>165.78999300000001</v>
      </c>
      <c r="CZ29" s="6">
        <v>158.33999600000001</v>
      </c>
      <c r="DA29" s="6">
        <v>159.61999499999999</v>
      </c>
      <c r="DB29" s="6">
        <v>154.58999600000001</v>
      </c>
    </row>
    <row r="30" spans="1:106">
      <c r="A30" s="3" t="s">
        <v>27</v>
      </c>
      <c r="B30">
        <v>144</v>
      </c>
      <c r="C30" s="6">
        <v>103.62</v>
      </c>
      <c r="D30" s="6">
        <v>104.27</v>
      </c>
      <c r="E30" s="6">
        <v>102.69</v>
      </c>
      <c r="F30" s="6">
        <v>101.7</v>
      </c>
      <c r="G30" s="6">
        <v>103.45</v>
      </c>
      <c r="H30" s="6">
        <v>103.19</v>
      </c>
      <c r="I30" s="6">
        <v>103.31</v>
      </c>
      <c r="J30" s="6">
        <v>103.41</v>
      </c>
      <c r="K30" s="6">
        <v>104.15</v>
      </c>
      <c r="L30" s="6">
        <v>104.99</v>
      </c>
      <c r="M30" s="6">
        <v>105.34</v>
      </c>
      <c r="N30" s="6">
        <v>105.5</v>
      </c>
      <c r="O30" s="6">
        <v>106.24</v>
      </c>
      <c r="P30" s="6">
        <v>107.18</v>
      </c>
      <c r="Q30" s="6">
        <v>107.16</v>
      </c>
      <c r="R30" s="6">
        <v>107.12</v>
      </c>
      <c r="S30" s="6">
        <v>107.93</v>
      </c>
      <c r="T30" s="6">
        <v>108</v>
      </c>
      <c r="U30" s="6">
        <v>108.18</v>
      </c>
      <c r="V30" s="6">
        <v>108.35</v>
      </c>
      <c r="W30" s="6">
        <v>108.07</v>
      </c>
      <c r="X30" s="6">
        <v>106.93</v>
      </c>
      <c r="Y30" s="6">
        <v>106.03</v>
      </c>
      <c r="Z30" s="6">
        <v>107.12</v>
      </c>
      <c r="AA30" s="6">
        <v>107.37</v>
      </c>
      <c r="AB30" s="6">
        <v>108.25</v>
      </c>
      <c r="AC30" s="6">
        <v>108.34</v>
      </c>
      <c r="AD30" s="6">
        <v>108.7</v>
      </c>
      <c r="AE30" s="6">
        <v>108.97</v>
      </c>
      <c r="AF30" s="6">
        <v>110.28</v>
      </c>
      <c r="AG30" s="6">
        <v>110.54</v>
      </c>
      <c r="AH30" s="6">
        <v>111.65</v>
      </c>
      <c r="AI30" s="6">
        <v>112.05</v>
      </c>
      <c r="AJ30" s="6">
        <v>111.53</v>
      </c>
      <c r="AK30" s="6">
        <v>112.21</v>
      </c>
      <c r="AL30" s="6">
        <v>112.32</v>
      </c>
      <c r="AM30" s="6">
        <v>111.28</v>
      </c>
      <c r="AN30" s="6">
        <v>111.57</v>
      </c>
      <c r="AO30" s="6">
        <v>111.84</v>
      </c>
      <c r="AP30" s="6">
        <v>112.03</v>
      </c>
      <c r="AQ30" s="6">
        <v>111.83</v>
      </c>
      <c r="AR30" s="6">
        <v>111.41</v>
      </c>
      <c r="AS30" s="6">
        <v>112.05</v>
      </c>
      <c r="AT30" s="6">
        <v>111.88</v>
      </c>
      <c r="AU30" s="6">
        <v>111.91</v>
      </c>
      <c r="AV30" s="6">
        <v>111.57</v>
      </c>
      <c r="AW30" s="6">
        <v>111.24</v>
      </c>
      <c r="AX30" s="6">
        <v>112.03</v>
      </c>
      <c r="AY30" s="6">
        <v>111.7</v>
      </c>
      <c r="AZ30" s="6">
        <v>112</v>
      </c>
      <c r="BA30" s="6">
        <v>111.51</v>
      </c>
      <c r="BB30" s="6">
        <v>112.21</v>
      </c>
      <c r="BC30" s="6">
        <v>112.82</v>
      </c>
      <c r="BD30" s="6">
        <v>114.15</v>
      </c>
      <c r="BE30" s="6">
        <v>113.96</v>
      </c>
      <c r="BF30" s="6">
        <v>113.61</v>
      </c>
      <c r="BG30" s="6">
        <v>114.23</v>
      </c>
      <c r="BH30" s="6">
        <v>113.87</v>
      </c>
      <c r="BI30" s="6">
        <v>113</v>
      </c>
      <c r="BJ30" s="6">
        <v>115.14</v>
      </c>
      <c r="BK30" s="6">
        <v>115.94</v>
      </c>
      <c r="BL30" s="6">
        <v>114.6</v>
      </c>
      <c r="BM30" s="6">
        <v>111.86</v>
      </c>
      <c r="BN30">
        <v>113.45</v>
      </c>
      <c r="BO30">
        <v>114.73</v>
      </c>
      <c r="BP30">
        <v>116.69</v>
      </c>
      <c r="BQ30">
        <v>116.45</v>
      </c>
      <c r="BR30">
        <v>116.68</v>
      </c>
      <c r="BS30">
        <v>117.57</v>
      </c>
      <c r="BT30">
        <v>118.15</v>
      </c>
      <c r="BU30">
        <v>118.75</v>
      </c>
      <c r="BV30">
        <v>119.37</v>
      </c>
      <c r="BW30">
        <v>118.78</v>
      </c>
      <c r="BX30">
        <v>119.45</v>
      </c>
      <c r="BY30">
        <v>118.48</v>
      </c>
      <c r="BZ30">
        <v>117.08</v>
      </c>
      <c r="CA30" s="6">
        <v>116.349998</v>
      </c>
      <c r="CB30" s="6">
        <v>113.33000199999999</v>
      </c>
      <c r="CC30" s="6">
        <v>111.110001</v>
      </c>
      <c r="CD30" s="6">
        <v>112.589996</v>
      </c>
      <c r="CE30" s="6">
        <v>106.879997</v>
      </c>
      <c r="CF30" s="6">
        <v>104.55999799999999</v>
      </c>
      <c r="CG30" s="6">
        <v>108.010002</v>
      </c>
      <c r="CH30" s="6">
        <v>106.519997</v>
      </c>
      <c r="CI30" s="6">
        <v>110.599998</v>
      </c>
      <c r="CJ30" s="6">
        <v>106.55999799999999</v>
      </c>
      <c r="CK30" s="6">
        <v>105.66999800000001</v>
      </c>
      <c r="CL30" s="6">
        <v>99.879997000000003</v>
      </c>
      <c r="CM30" s="6">
        <v>103.089996</v>
      </c>
      <c r="CN30" s="6">
        <v>98.949996999999996</v>
      </c>
      <c r="CO30" s="6">
        <v>93</v>
      </c>
      <c r="CP30" s="6">
        <v>98.639999000000003</v>
      </c>
      <c r="CQ30" s="6">
        <v>87.860000999999997</v>
      </c>
      <c r="CR30" s="6">
        <v>91.900002000000001</v>
      </c>
      <c r="CS30" s="6">
        <v>80.809997999999993</v>
      </c>
      <c r="CT30" s="6">
        <v>79.029999000000004</v>
      </c>
      <c r="CU30" s="6">
        <v>79.870002999999997</v>
      </c>
      <c r="CV30" s="6">
        <v>76.690002000000007</v>
      </c>
      <c r="CW30" s="6">
        <v>86.93</v>
      </c>
      <c r="CX30" s="6">
        <v>86.860000999999997</v>
      </c>
      <c r="CY30" s="6">
        <v>85.860000999999997</v>
      </c>
      <c r="CZ30" s="6">
        <v>85.449996999999996</v>
      </c>
      <c r="DA30" s="6">
        <v>89.550003000000004</v>
      </c>
      <c r="DB30" s="6">
        <v>86.459998999999996</v>
      </c>
    </row>
    <row r="31" spans="1:106">
      <c r="A31" s="3" t="s">
        <v>28</v>
      </c>
      <c r="B31">
        <v>200</v>
      </c>
      <c r="C31" s="6">
        <v>124.92</v>
      </c>
      <c r="D31" s="6">
        <v>127.8</v>
      </c>
      <c r="E31" s="6">
        <v>128.82</v>
      </c>
      <c r="F31" s="6">
        <v>129.1</v>
      </c>
      <c r="G31" s="6">
        <v>129.30000000000001</v>
      </c>
      <c r="H31" s="6">
        <v>130</v>
      </c>
      <c r="I31" s="6">
        <v>130.38</v>
      </c>
      <c r="J31" s="6">
        <v>129.91999999999999</v>
      </c>
      <c r="K31" s="6">
        <v>129.16</v>
      </c>
      <c r="L31" s="6">
        <v>128.47999999999999</v>
      </c>
      <c r="M31" s="6">
        <v>128.6</v>
      </c>
      <c r="N31" s="6">
        <v>129.53</v>
      </c>
      <c r="O31" s="6">
        <v>130.62</v>
      </c>
      <c r="P31" s="6">
        <v>130.58000000000001</v>
      </c>
      <c r="Q31" s="6">
        <v>129.63</v>
      </c>
      <c r="R31" s="6">
        <v>129.93</v>
      </c>
      <c r="S31" s="6">
        <v>130.79</v>
      </c>
      <c r="T31" s="6">
        <v>131.49</v>
      </c>
      <c r="U31" s="6">
        <v>131.66999999999999</v>
      </c>
      <c r="V31" s="6">
        <v>132.06</v>
      </c>
      <c r="W31" s="6">
        <v>131.76</v>
      </c>
      <c r="X31" s="6">
        <v>131.47</v>
      </c>
      <c r="Y31" s="6">
        <v>129.78</v>
      </c>
      <c r="Z31" s="6">
        <v>132.34</v>
      </c>
      <c r="AA31" s="6">
        <v>133.06</v>
      </c>
      <c r="AB31" s="6">
        <v>135.04</v>
      </c>
      <c r="AC31" s="6">
        <v>134.41</v>
      </c>
      <c r="AD31" s="6">
        <v>134.5</v>
      </c>
      <c r="AE31" s="6">
        <v>134.18</v>
      </c>
      <c r="AF31" s="6">
        <v>138.02000000000001</v>
      </c>
      <c r="AG31" s="6">
        <v>136.81</v>
      </c>
      <c r="AH31" s="6">
        <v>137.34</v>
      </c>
      <c r="AI31" s="6">
        <v>138.18</v>
      </c>
      <c r="AJ31" s="6">
        <v>138.04</v>
      </c>
      <c r="AK31" s="6">
        <v>137.35</v>
      </c>
      <c r="AL31" s="6">
        <v>137.24</v>
      </c>
      <c r="AM31" s="6">
        <v>137.19999999999999</v>
      </c>
      <c r="AN31" s="6">
        <v>137.58000000000001</v>
      </c>
      <c r="AO31" s="6">
        <v>139.04</v>
      </c>
      <c r="AP31" s="6">
        <v>139.13999999999999</v>
      </c>
      <c r="AQ31" s="6">
        <v>138.63</v>
      </c>
      <c r="AR31" s="6">
        <v>139.4</v>
      </c>
      <c r="AS31" s="6">
        <v>141.09</v>
      </c>
      <c r="AT31" s="6">
        <v>138.34</v>
      </c>
      <c r="AU31" s="6">
        <v>138.22999999999999</v>
      </c>
      <c r="AV31" s="6">
        <v>135.88</v>
      </c>
      <c r="AW31" s="6">
        <v>136.94</v>
      </c>
      <c r="AX31" s="6">
        <v>137.44</v>
      </c>
      <c r="AY31" s="6">
        <v>136.07</v>
      </c>
      <c r="AZ31" s="6">
        <v>137.19999999999999</v>
      </c>
      <c r="BA31" s="6">
        <v>138.80000000000001</v>
      </c>
      <c r="BB31" s="6">
        <v>136.72</v>
      </c>
      <c r="BC31" s="6">
        <v>137.25</v>
      </c>
      <c r="BD31" s="6">
        <v>138.19999999999999</v>
      </c>
      <c r="BE31" s="6">
        <v>136.84</v>
      </c>
      <c r="BF31" s="6">
        <v>136.68</v>
      </c>
      <c r="BG31" s="6">
        <v>136.54</v>
      </c>
      <c r="BH31" s="6">
        <v>133.15</v>
      </c>
      <c r="BI31" s="6">
        <v>132.03</v>
      </c>
      <c r="BJ31" s="6">
        <v>134.43</v>
      </c>
      <c r="BK31" s="6">
        <v>134.22999999999999</v>
      </c>
      <c r="BL31" s="6">
        <v>135.88999999999999</v>
      </c>
      <c r="BM31" s="6">
        <v>132.36000000000001</v>
      </c>
      <c r="BN31">
        <v>133.37</v>
      </c>
      <c r="BO31">
        <v>135.29</v>
      </c>
      <c r="BP31">
        <v>137.59</v>
      </c>
      <c r="BQ31">
        <v>137.61000000000001</v>
      </c>
      <c r="BR31">
        <v>137.16999999999999</v>
      </c>
      <c r="BS31">
        <v>137.74</v>
      </c>
      <c r="BT31">
        <v>138</v>
      </c>
      <c r="BU31">
        <v>138</v>
      </c>
      <c r="BV31">
        <v>137.88</v>
      </c>
      <c r="BW31">
        <v>137.46</v>
      </c>
      <c r="BX31">
        <v>135.63999999999999</v>
      </c>
      <c r="BY31">
        <v>137.49</v>
      </c>
      <c r="BZ31">
        <v>137.49</v>
      </c>
      <c r="CA31" s="6">
        <v>135.80999800000001</v>
      </c>
      <c r="CB31" s="6">
        <v>132.16000399999999</v>
      </c>
      <c r="CC31" s="6">
        <v>126.260002</v>
      </c>
      <c r="CD31" s="6">
        <v>126.639999</v>
      </c>
      <c r="CE31" s="6">
        <v>121.370003</v>
      </c>
      <c r="CF31" s="6">
        <v>116.110001</v>
      </c>
      <c r="CG31" s="6">
        <v>121.519997</v>
      </c>
      <c r="CH31" s="6">
        <v>116.959999</v>
      </c>
      <c r="CI31" s="6">
        <v>119.849998</v>
      </c>
      <c r="CJ31" s="6">
        <v>113.970001</v>
      </c>
      <c r="CK31" s="6">
        <v>108.08000199999999</v>
      </c>
      <c r="CL31" s="6">
        <v>93.440002000000007</v>
      </c>
      <c r="CM31" s="6">
        <v>100.699997</v>
      </c>
      <c r="CN31" s="6">
        <v>95.959998999999996</v>
      </c>
      <c r="CO31" s="6">
        <v>88.050003000000004</v>
      </c>
      <c r="CP31" s="6">
        <v>103.910004</v>
      </c>
      <c r="CQ31" s="6">
        <v>88.360000999999997</v>
      </c>
      <c r="CR31" s="6">
        <v>93.760002</v>
      </c>
      <c r="CS31" s="6">
        <v>83.889999000000003</v>
      </c>
      <c r="CT31" s="6">
        <v>85.300003000000004</v>
      </c>
      <c r="CU31" s="6">
        <v>83.5</v>
      </c>
      <c r="CV31" s="6">
        <v>79.029999000000004</v>
      </c>
      <c r="CW31" s="6">
        <v>88.43</v>
      </c>
      <c r="CX31" s="6">
        <v>91.730002999999996</v>
      </c>
      <c r="CY31" s="6">
        <v>98.120002999999997</v>
      </c>
      <c r="CZ31" s="6">
        <v>91.129997000000003</v>
      </c>
      <c r="DA31" s="6">
        <v>93.5</v>
      </c>
      <c r="DB31" s="6">
        <v>90.029999000000004</v>
      </c>
    </row>
    <row r="32" spans="1:106">
      <c r="A32" s="3" t="s">
        <v>29</v>
      </c>
      <c r="B32">
        <v>245</v>
      </c>
      <c r="C32" s="6">
        <v>40.71</v>
      </c>
      <c r="D32" s="6">
        <v>41.78</v>
      </c>
      <c r="E32" s="6">
        <v>43.22</v>
      </c>
      <c r="F32" s="6">
        <v>43.42</v>
      </c>
      <c r="G32" s="6">
        <v>43.08</v>
      </c>
      <c r="H32" s="6">
        <v>43.5</v>
      </c>
      <c r="I32" s="6">
        <v>43.54</v>
      </c>
      <c r="J32" s="6">
        <v>43.23</v>
      </c>
      <c r="K32" s="6">
        <v>43.48</v>
      </c>
      <c r="L32" s="6">
        <v>42.81</v>
      </c>
      <c r="M32" s="6">
        <v>43.38</v>
      </c>
      <c r="N32" s="6">
        <v>44.35</v>
      </c>
      <c r="O32" s="6">
        <v>44.18</v>
      </c>
      <c r="P32" s="6">
        <v>44.4</v>
      </c>
      <c r="Q32" s="6">
        <v>44.75</v>
      </c>
      <c r="R32" s="6">
        <v>48.03</v>
      </c>
      <c r="S32" s="6">
        <v>48.2</v>
      </c>
      <c r="T32" s="6">
        <v>49.31</v>
      </c>
      <c r="U32" s="6">
        <v>49.24</v>
      </c>
      <c r="V32" s="6">
        <v>49.84</v>
      </c>
      <c r="W32" s="6">
        <v>49.5</v>
      </c>
      <c r="X32" s="6">
        <v>49.57</v>
      </c>
      <c r="Y32" s="6">
        <v>48.66</v>
      </c>
      <c r="Z32" s="6">
        <v>49.03</v>
      </c>
      <c r="AA32" s="6">
        <v>48.74</v>
      </c>
      <c r="AB32" s="6">
        <v>48.95</v>
      </c>
      <c r="AC32" s="6">
        <v>48.95</v>
      </c>
      <c r="AD32" s="6">
        <v>49.19</v>
      </c>
      <c r="AE32" s="6">
        <v>49.6</v>
      </c>
      <c r="AF32" s="6">
        <v>51.07</v>
      </c>
      <c r="AG32" s="6">
        <v>49.95</v>
      </c>
      <c r="AH32" s="6">
        <v>49.72</v>
      </c>
      <c r="AI32" s="6">
        <v>49.49</v>
      </c>
      <c r="AJ32" s="6">
        <v>48.66</v>
      </c>
      <c r="AK32" s="6">
        <v>48.2</v>
      </c>
      <c r="AL32" s="6">
        <v>48.12</v>
      </c>
      <c r="AM32" s="6">
        <v>48.71</v>
      </c>
      <c r="AN32" s="6">
        <v>48.71</v>
      </c>
      <c r="AO32" s="6">
        <v>48.57</v>
      </c>
      <c r="AP32" s="6">
        <v>48.34</v>
      </c>
      <c r="AQ32" s="6">
        <v>47.82</v>
      </c>
      <c r="AR32" s="6">
        <v>47.56</v>
      </c>
      <c r="AS32" s="6">
        <v>48.23</v>
      </c>
      <c r="AT32" s="6">
        <v>47.01</v>
      </c>
      <c r="AU32" s="6">
        <v>47.34</v>
      </c>
      <c r="AV32" s="6">
        <v>47.62</v>
      </c>
      <c r="AW32" s="6">
        <v>47.91</v>
      </c>
      <c r="AX32" s="6">
        <v>48.11</v>
      </c>
      <c r="AY32" s="6">
        <v>47.8</v>
      </c>
      <c r="AZ32" s="6">
        <v>48.02</v>
      </c>
      <c r="BA32" s="6">
        <v>47.71</v>
      </c>
      <c r="BB32" s="6">
        <v>47.12</v>
      </c>
      <c r="BC32" s="6">
        <v>49</v>
      </c>
      <c r="BD32" s="6">
        <v>48.34</v>
      </c>
      <c r="BE32" s="6">
        <v>48.45</v>
      </c>
      <c r="BF32" s="6">
        <v>48.93</v>
      </c>
      <c r="BG32" s="6">
        <v>48.42</v>
      </c>
      <c r="BH32" s="6">
        <v>47.15</v>
      </c>
      <c r="BI32" s="6">
        <v>45.76</v>
      </c>
      <c r="BJ32" s="6">
        <v>46.3</v>
      </c>
      <c r="BK32" s="6">
        <v>45.95</v>
      </c>
      <c r="BL32" s="6">
        <v>47.19</v>
      </c>
      <c r="BM32" s="6">
        <v>45.55</v>
      </c>
      <c r="BN32">
        <v>45.68</v>
      </c>
      <c r="BO32">
        <v>47.08</v>
      </c>
      <c r="BP32">
        <v>48.29</v>
      </c>
      <c r="BQ32">
        <v>47.83</v>
      </c>
      <c r="BR32">
        <v>47.31</v>
      </c>
      <c r="BS32">
        <v>46.77</v>
      </c>
      <c r="BT32">
        <v>47.67</v>
      </c>
      <c r="BU32">
        <v>47.79</v>
      </c>
      <c r="BV32">
        <v>47.29</v>
      </c>
      <c r="BW32">
        <v>47.23</v>
      </c>
      <c r="BX32">
        <v>46.73</v>
      </c>
      <c r="BY32">
        <v>47.44</v>
      </c>
      <c r="BZ32">
        <v>48.58</v>
      </c>
      <c r="CA32" s="6">
        <v>46.189999</v>
      </c>
      <c r="CB32" s="6">
        <v>43.799999</v>
      </c>
      <c r="CC32" s="6">
        <v>41.599997999999999</v>
      </c>
      <c r="CD32" s="6">
        <v>41.419998</v>
      </c>
      <c r="CE32" s="6">
        <v>41.91</v>
      </c>
      <c r="CF32" s="6">
        <v>40.75</v>
      </c>
      <c r="CG32" s="6">
        <v>41.98</v>
      </c>
      <c r="CH32" s="6">
        <v>38.299999</v>
      </c>
      <c r="CI32" s="6">
        <v>37.159999999999997</v>
      </c>
      <c r="CJ32" s="6">
        <v>34.799999</v>
      </c>
      <c r="CK32" s="6">
        <v>34.130001</v>
      </c>
      <c r="CL32" s="6">
        <v>30.27</v>
      </c>
      <c r="CM32" s="6">
        <v>32.939999</v>
      </c>
      <c r="CN32" s="6">
        <v>32.43</v>
      </c>
      <c r="CO32" s="6">
        <v>28.43</v>
      </c>
      <c r="CP32" s="6">
        <v>33.869999</v>
      </c>
      <c r="CQ32" s="6">
        <v>30.559999000000001</v>
      </c>
      <c r="CR32" s="6">
        <v>33.68</v>
      </c>
      <c r="CS32" s="6">
        <v>32.419998</v>
      </c>
      <c r="CT32" s="6">
        <v>31.82</v>
      </c>
      <c r="CU32" s="6">
        <v>30.75</v>
      </c>
      <c r="CV32" s="6">
        <v>28.5</v>
      </c>
      <c r="CW32" s="6">
        <v>30.719999000000001</v>
      </c>
      <c r="CX32" s="6">
        <v>34.169998</v>
      </c>
      <c r="CY32" s="6">
        <v>34.159999999999997</v>
      </c>
      <c r="CZ32" s="6">
        <v>33.610000999999997</v>
      </c>
      <c r="DA32" s="6">
        <v>34.330002</v>
      </c>
      <c r="DB32" s="6">
        <v>33.619999</v>
      </c>
    </row>
    <row r="33" spans="1:106">
      <c r="A33" s="2" t="s">
        <v>30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</row>
    <row r="34" spans="1:106">
      <c r="A34" s="3" t="s">
        <v>31</v>
      </c>
      <c r="B34">
        <v>86</v>
      </c>
      <c r="C34" s="6">
        <v>138.22999999999999</v>
      </c>
      <c r="D34" s="6">
        <v>138.22</v>
      </c>
      <c r="E34" s="6">
        <v>136.53</v>
      </c>
      <c r="F34" s="6">
        <v>140.31</v>
      </c>
      <c r="G34" s="6">
        <v>143.22</v>
      </c>
      <c r="H34" s="6">
        <v>141.93</v>
      </c>
      <c r="I34" s="6">
        <v>144</v>
      </c>
      <c r="J34" s="6">
        <v>143.32</v>
      </c>
      <c r="K34" s="6">
        <v>144.54</v>
      </c>
      <c r="L34" s="6">
        <v>144.37</v>
      </c>
      <c r="M34" s="6">
        <v>145.03</v>
      </c>
      <c r="N34" s="6">
        <v>146.78</v>
      </c>
      <c r="O34" s="6">
        <v>144.99</v>
      </c>
      <c r="P34" s="6">
        <v>144.54</v>
      </c>
      <c r="Q34" s="6">
        <v>142.57</v>
      </c>
      <c r="R34" s="6">
        <v>142.32</v>
      </c>
      <c r="S34" s="6">
        <v>143.82</v>
      </c>
      <c r="T34" s="6">
        <v>145.08000000000001</v>
      </c>
      <c r="U34" s="6">
        <v>144.86000000000001</v>
      </c>
      <c r="V34" s="6">
        <v>146.56</v>
      </c>
      <c r="W34" s="6">
        <v>145.28</v>
      </c>
      <c r="X34" s="6">
        <v>144.46</v>
      </c>
      <c r="Y34" s="6">
        <v>143.4</v>
      </c>
      <c r="Z34" s="6">
        <v>148.37</v>
      </c>
      <c r="AA34" s="6">
        <v>147.62</v>
      </c>
      <c r="AB34" s="6">
        <v>148.53</v>
      </c>
      <c r="AC34" s="6">
        <v>146.72</v>
      </c>
      <c r="AD34" s="6">
        <v>145.22999999999999</v>
      </c>
      <c r="AE34" s="6">
        <v>147.01</v>
      </c>
      <c r="AF34" s="6">
        <v>147.41</v>
      </c>
      <c r="AG34" s="6">
        <v>148.07</v>
      </c>
      <c r="AH34" s="6">
        <v>150</v>
      </c>
      <c r="AI34" s="6">
        <v>149.86000000000001</v>
      </c>
      <c r="AJ34" s="6">
        <v>148.88</v>
      </c>
      <c r="AK34" s="6">
        <v>148.80000000000001</v>
      </c>
      <c r="AL34" s="6">
        <v>150.32</v>
      </c>
      <c r="AM34" s="6">
        <v>151.24</v>
      </c>
      <c r="AN34" s="6">
        <v>150.87</v>
      </c>
      <c r="AO34" s="6">
        <v>150.30000000000001</v>
      </c>
      <c r="AP34" s="6">
        <v>150.01</v>
      </c>
      <c r="AQ34" s="6">
        <v>148.75</v>
      </c>
      <c r="AR34" s="6">
        <v>149.68</v>
      </c>
      <c r="AS34" s="6">
        <v>149.19999999999999</v>
      </c>
      <c r="AT34" s="6">
        <v>148.81</v>
      </c>
      <c r="AU34" s="6">
        <v>147.94999999999999</v>
      </c>
      <c r="AV34" s="6">
        <v>147.82</v>
      </c>
      <c r="AW34" s="6">
        <v>149.59</v>
      </c>
      <c r="AX34" s="6">
        <v>148.6</v>
      </c>
      <c r="AY34" s="6">
        <v>149.99</v>
      </c>
      <c r="AZ34" s="6">
        <v>149.02000000000001</v>
      </c>
      <c r="BA34" s="6">
        <v>148.34</v>
      </c>
      <c r="BB34" s="6">
        <v>148.15</v>
      </c>
      <c r="BC34" s="6">
        <v>148.77000000000001</v>
      </c>
      <c r="BD34" s="6">
        <v>149.38</v>
      </c>
      <c r="BE34" s="6">
        <v>149.47999999999999</v>
      </c>
      <c r="BF34" s="6">
        <v>150.97999999999999</v>
      </c>
      <c r="BG34" s="6">
        <v>149.51</v>
      </c>
      <c r="BH34" s="6">
        <v>147.80000000000001</v>
      </c>
      <c r="BI34" s="6">
        <v>148.04</v>
      </c>
      <c r="BJ34" s="6">
        <v>149.19999999999999</v>
      </c>
      <c r="BK34" s="6">
        <v>150.75</v>
      </c>
      <c r="BL34" s="6">
        <v>151.18</v>
      </c>
      <c r="BM34" s="6">
        <v>147.9</v>
      </c>
      <c r="BN34">
        <v>148.51</v>
      </c>
      <c r="BO34">
        <v>156.77000000000001</v>
      </c>
      <c r="BP34">
        <v>157.69999999999999</v>
      </c>
      <c r="BQ34">
        <v>159.01</v>
      </c>
      <c r="BR34">
        <v>156.38999999999999</v>
      </c>
      <c r="BS34">
        <v>158.22</v>
      </c>
      <c r="BT34">
        <v>159.29</v>
      </c>
      <c r="BU34">
        <v>158.69999999999999</v>
      </c>
      <c r="BV34">
        <v>158.72999999999999</v>
      </c>
      <c r="BW34">
        <v>160.4</v>
      </c>
      <c r="BX34">
        <v>159.25</v>
      </c>
      <c r="BY34">
        <v>160.02000000000001</v>
      </c>
      <c r="BZ34">
        <v>158.38999999999999</v>
      </c>
      <c r="CA34" s="6">
        <v>156.99989299999999</v>
      </c>
      <c r="CB34" s="6">
        <v>153.94747899999999</v>
      </c>
      <c r="CC34" s="6">
        <v>149.35887099999999</v>
      </c>
      <c r="CD34" s="6">
        <v>146.196732</v>
      </c>
      <c r="CE34" s="6">
        <v>139.60311899999999</v>
      </c>
      <c r="CF34" s="6">
        <v>135.81253100000001</v>
      </c>
      <c r="CG34" s="6">
        <v>138.90486100000001</v>
      </c>
      <c r="CH34" s="6">
        <v>133.52821399999999</v>
      </c>
      <c r="CI34" s="6">
        <v>137.72778299999999</v>
      </c>
      <c r="CJ34" s="6">
        <v>128.86979700000001</v>
      </c>
      <c r="CK34" s="6">
        <v>123.792404</v>
      </c>
      <c r="CL34" s="6">
        <v>110.98423</v>
      </c>
      <c r="CM34" s="6">
        <v>118.01675400000001</v>
      </c>
      <c r="CN34" s="6">
        <v>110.914406</v>
      </c>
      <c r="CO34" s="6">
        <v>101.777107</v>
      </c>
      <c r="CP34" s="6">
        <v>97.557593999999995</v>
      </c>
      <c r="CQ34" s="6">
        <v>91.771973000000003</v>
      </c>
      <c r="CR34" s="6">
        <v>85.946449000000001</v>
      </c>
      <c r="CS34" s="6">
        <v>80.430144999999996</v>
      </c>
      <c r="CT34" s="6">
        <v>88.919060000000002</v>
      </c>
      <c r="CU34" s="6">
        <v>85.766891000000001</v>
      </c>
      <c r="CV34" s="6">
        <v>80.609702999999996</v>
      </c>
      <c r="CW34" s="6">
        <v>93.168503000000001</v>
      </c>
      <c r="CX34" s="6">
        <v>96.589995999999999</v>
      </c>
      <c r="CY34" s="6">
        <v>100.849998</v>
      </c>
      <c r="CZ34" s="6">
        <v>94.940002000000007</v>
      </c>
      <c r="DA34" s="6">
        <v>98.279999000000004</v>
      </c>
      <c r="DB34" s="6">
        <v>101.08000199999999</v>
      </c>
    </row>
    <row r="35" spans="1:106">
      <c r="A35" s="3" t="s">
        <v>32</v>
      </c>
      <c r="B35">
        <v>338</v>
      </c>
      <c r="C35" s="6">
        <v>35.46</v>
      </c>
      <c r="D35" s="6">
        <v>36.93</v>
      </c>
      <c r="E35" s="6">
        <v>38.299999999999997</v>
      </c>
      <c r="F35" s="6">
        <v>37.86</v>
      </c>
      <c r="G35" s="6">
        <v>37.61</v>
      </c>
      <c r="H35" s="6">
        <v>38.06</v>
      </c>
      <c r="I35" s="6">
        <v>38.229999999999997</v>
      </c>
      <c r="J35" s="6">
        <v>37.71</v>
      </c>
      <c r="K35" s="6">
        <v>37.75</v>
      </c>
      <c r="L35" s="6">
        <v>38.17</v>
      </c>
      <c r="M35" s="6">
        <v>37.96</v>
      </c>
      <c r="N35" s="6">
        <v>37.64</v>
      </c>
      <c r="O35" s="6">
        <v>36.799999999999997</v>
      </c>
      <c r="P35" s="6">
        <v>37.36</v>
      </c>
      <c r="Q35" s="6">
        <v>37</v>
      </c>
      <c r="R35" s="6">
        <v>37.57</v>
      </c>
      <c r="S35" s="6">
        <v>37.33</v>
      </c>
      <c r="T35" s="6">
        <v>37.700000000000003</v>
      </c>
      <c r="U35" s="6">
        <v>37.590000000000003</v>
      </c>
      <c r="V35" s="6">
        <v>38.090000000000003</v>
      </c>
      <c r="W35" s="6">
        <v>37.770000000000003</v>
      </c>
      <c r="X35" s="6">
        <v>37.83</v>
      </c>
      <c r="Y35" s="6">
        <v>37.520000000000003</v>
      </c>
      <c r="Z35" s="6">
        <v>38.1</v>
      </c>
      <c r="AA35" s="6">
        <v>38.14</v>
      </c>
      <c r="AB35" s="6">
        <v>38.22</v>
      </c>
      <c r="AC35" s="6">
        <v>38.520000000000003</v>
      </c>
      <c r="AD35" s="6">
        <v>39.08</v>
      </c>
      <c r="AE35" s="6">
        <v>38.89</v>
      </c>
      <c r="AF35" s="6">
        <v>38.99</v>
      </c>
      <c r="AG35" s="6">
        <v>38.840000000000003</v>
      </c>
      <c r="AH35" s="6">
        <v>39.729999999999997</v>
      </c>
      <c r="AI35" s="6">
        <v>40.729999999999997</v>
      </c>
      <c r="AJ35" s="6">
        <v>40.56</v>
      </c>
      <c r="AK35" s="6">
        <v>39.86</v>
      </c>
      <c r="AL35" s="6">
        <v>40.01</v>
      </c>
      <c r="AM35" s="6">
        <v>39.74</v>
      </c>
      <c r="AN35" s="6">
        <v>39.94</v>
      </c>
      <c r="AO35" s="6">
        <v>40.47</v>
      </c>
      <c r="AP35" s="6">
        <v>40.65</v>
      </c>
      <c r="AQ35" s="6">
        <v>41.12</v>
      </c>
      <c r="AR35" s="6">
        <v>40.5</v>
      </c>
      <c r="AS35" s="6">
        <v>40.49</v>
      </c>
      <c r="AT35" s="6">
        <v>40.229999999999997</v>
      </c>
      <c r="AU35" s="6">
        <v>40.92</v>
      </c>
      <c r="AV35" s="6">
        <v>39.81</v>
      </c>
      <c r="AW35" s="6">
        <v>39.35</v>
      </c>
      <c r="AX35" s="6">
        <v>38.770000000000003</v>
      </c>
      <c r="AY35" s="6">
        <v>38.409999999999997</v>
      </c>
      <c r="AZ35" s="6">
        <v>39.159999999999997</v>
      </c>
      <c r="BA35" s="6">
        <v>39.5</v>
      </c>
      <c r="BB35" s="6">
        <v>41.15</v>
      </c>
      <c r="BC35" s="6">
        <v>41.89</v>
      </c>
      <c r="BD35" s="6">
        <v>42.2</v>
      </c>
      <c r="BE35" s="6">
        <v>41.74</v>
      </c>
      <c r="BF35" s="6">
        <v>41.45</v>
      </c>
      <c r="BG35" s="6">
        <v>41.62</v>
      </c>
      <c r="BH35" s="6">
        <v>40.880000000000003</v>
      </c>
      <c r="BI35" s="6">
        <v>41.01</v>
      </c>
      <c r="BJ35" s="6">
        <v>42.36</v>
      </c>
      <c r="BK35" s="6">
        <v>41.91</v>
      </c>
      <c r="BL35" s="6">
        <v>41.53</v>
      </c>
      <c r="BM35" s="6">
        <v>40.56</v>
      </c>
      <c r="BN35">
        <v>40.21</v>
      </c>
      <c r="BO35">
        <v>41.28</v>
      </c>
      <c r="BP35">
        <v>41.5</v>
      </c>
      <c r="BQ35">
        <v>44.99</v>
      </c>
      <c r="BR35">
        <v>45.96</v>
      </c>
      <c r="BS35">
        <v>43.58</v>
      </c>
      <c r="BT35">
        <v>43.86</v>
      </c>
      <c r="BU35">
        <v>43.87</v>
      </c>
      <c r="BV35">
        <v>43.43</v>
      </c>
      <c r="BW35">
        <v>42.47</v>
      </c>
      <c r="BX35">
        <v>42.15</v>
      </c>
      <c r="BY35">
        <v>42.39</v>
      </c>
      <c r="BZ35">
        <v>42.51</v>
      </c>
      <c r="CA35" s="6">
        <v>42.400002000000001</v>
      </c>
      <c r="CB35" s="6">
        <v>40.759998000000003</v>
      </c>
      <c r="CC35" s="6">
        <v>39.610000999999997</v>
      </c>
      <c r="CD35" s="6">
        <v>38.849997999999999</v>
      </c>
      <c r="CE35" s="6">
        <v>37.650002000000001</v>
      </c>
      <c r="CF35" s="6">
        <v>37.360000999999997</v>
      </c>
      <c r="CG35" s="6">
        <v>39.130001</v>
      </c>
      <c r="CH35" s="6">
        <v>38.470001000000003</v>
      </c>
      <c r="CI35" s="6">
        <v>39.259998000000003</v>
      </c>
      <c r="CJ35" s="6">
        <v>38.840000000000003</v>
      </c>
      <c r="CK35" s="6">
        <v>38.07</v>
      </c>
      <c r="CL35" s="6">
        <v>34.540000999999997</v>
      </c>
      <c r="CM35" s="6">
        <v>37.369999</v>
      </c>
      <c r="CN35" s="6">
        <v>35.909999999999997</v>
      </c>
      <c r="CO35" s="6">
        <v>33.220001000000003</v>
      </c>
      <c r="CP35" s="6">
        <v>34.150002000000001</v>
      </c>
      <c r="CQ35" s="6">
        <v>30.280000999999999</v>
      </c>
      <c r="CR35" s="6">
        <v>29.52</v>
      </c>
      <c r="CS35" s="6">
        <v>30</v>
      </c>
      <c r="CT35" s="6">
        <v>31.309999000000001</v>
      </c>
      <c r="CU35" s="6">
        <v>30.18</v>
      </c>
      <c r="CV35" s="6">
        <v>29.5</v>
      </c>
      <c r="CW35" s="6">
        <v>32.349997999999999</v>
      </c>
      <c r="CX35" s="6">
        <v>30.74</v>
      </c>
      <c r="CY35" s="6">
        <v>35.150002000000001</v>
      </c>
      <c r="CZ35" s="6">
        <v>36.400002000000001</v>
      </c>
      <c r="DA35" s="6">
        <v>37.159999999999997</v>
      </c>
      <c r="DB35" s="6">
        <v>36.68</v>
      </c>
    </row>
    <row r="36" spans="1:106">
      <c r="A36" s="3" t="s">
        <v>33</v>
      </c>
      <c r="B36">
        <v>140</v>
      </c>
      <c r="C36" s="6">
        <v>127.92</v>
      </c>
      <c r="D36" s="6">
        <v>125.34</v>
      </c>
      <c r="E36" s="6">
        <v>124.76</v>
      </c>
      <c r="F36" s="6">
        <v>120.25</v>
      </c>
      <c r="G36" s="6">
        <v>121.47</v>
      </c>
      <c r="H36" s="6">
        <v>121.03</v>
      </c>
      <c r="I36" s="6">
        <v>117.86</v>
      </c>
      <c r="J36" s="6">
        <v>117.03</v>
      </c>
      <c r="K36" s="6">
        <v>117.2</v>
      </c>
      <c r="L36" s="6">
        <v>116.45</v>
      </c>
      <c r="M36" s="6">
        <v>116.25</v>
      </c>
      <c r="N36" s="6">
        <v>117.92</v>
      </c>
      <c r="O36" s="6">
        <v>118.8</v>
      </c>
      <c r="P36" s="6">
        <v>120.33</v>
      </c>
      <c r="Q36" s="6">
        <v>119.56</v>
      </c>
      <c r="R36" s="6">
        <v>120.22</v>
      </c>
      <c r="S36" s="6">
        <v>119.81</v>
      </c>
      <c r="T36" s="6">
        <v>120.61</v>
      </c>
      <c r="U36" s="6">
        <v>121.89</v>
      </c>
      <c r="V36" s="6">
        <v>121.63</v>
      </c>
      <c r="W36" s="6">
        <v>120.52</v>
      </c>
      <c r="X36" s="6">
        <v>119.91</v>
      </c>
      <c r="Y36" s="6">
        <v>120.53</v>
      </c>
      <c r="Z36" s="6">
        <v>119.74</v>
      </c>
      <c r="AA36" s="6">
        <v>120.11</v>
      </c>
      <c r="AB36" s="6">
        <v>121.72</v>
      </c>
      <c r="AC36" s="6">
        <v>121.23</v>
      </c>
      <c r="AD36" s="6">
        <v>122.78</v>
      </c>
      <c r="AE36" s="6">
        <v>123.56</v>
      </c>
      <c r="AF36" s="6">
        <v>124.33</v>
      </c>
      <c r="AG36" s="6">
        <v>124.45</v>
      </c>
      <c r="AH36" s="6">
        <v>126.46</v>
      </c>
      <c r="AI36" s="6">
        <v>127.1</v>
      </c>
      <c r="AJ36" s="6">
        <v>126.99</v>
      </c>
      <c r="AK36" s="6">
        <v>128.74</v>
      </c>
      <c r="AL36" s="6">
        <v>132.68</v>
      </c>
      <c r="AM36" s="6">
        <v>132.37</v>
      </c>
      <c r="AN36" s="6">
        <v>132.91999999999999</v>
      </c>
      <c r="AO36" s="6">
        <v>133.03</v>
      </c>
      <c r="AP36" s="6">
        <v>133.25</v>
      </c>
      <c r="AQ36" s="6">
        <v>132.21</v>
      </c>
      <c r="AR36" s="6">
        <v>132.35</v>
      </c>
      <c r="AS36" s="6">
        <v>134.13999999999999</v>
      </c>
      <c r="AT36" s="6">
        <v>134.16</v>
      </c>
      <c r="AU36" s="6">
        <v>133.13</v>
      </c>
      <c r="AV36" s="6">
        <v>133.58000000000001</v>
      </c>
      <c r="AW36" s="6">
        <v>133.29</v>
      </c>
      <c r="AX36" s="6">
        <v>135.06</v>
      </c>
      <c r="AY36" s="6">
        <v>135.57</v>
      </c>
      <c r="AZ36" s="6">
        <v>136.51</v>
      </c>
      <c r="BA36" s="6">
        <v>137.27000000000001</v>
      </c>
      <c r="BB36" s="6">
        <v>138.54</v>
      </c>
      <c r="BC36" s="6">
        <v>139.24</v>
      </c>
      <c r="BD36" s="6">
        <v>140.16</v>
      </c>
      <c r="BE36" s="6">
        <v>141.93</v>
      </c>
      <c r="BF36" s="6">
        <v>141.5</v>
      </c>
      <c r="BG36" s="6">
        <v>138.34</v>
      </c>
      <c r="BH36" s="6">
        <v>136.31</v>
      </c>
      <c r="BI36" s="6">
        <v>135.96</v>
      </c>
      <c r="BJ36" s="6">
        <v>138.26</v>
      </c>
      <c r="BK36" s="6">
        <v>138.51</v>
      </c>
      <c r="BL36" s="6">
        <v>138.03</v>
      </c>
      <c r="BM36" s="6">
        <v>134.21</v>
      </c>
      <c r="BN36">
        <v>135.52000000000001</v>
      </c>
      <c r="BO36">
        <v>138.97</v>
      </c>
      <c r="BP36">
        <v>137.88999999999999</v>
      </c>
      <c r="BQ36">
        <v>138.97</v>
      </c>
      <c r="BR36">
        <v>138.9</v>
      </c>
      <c r="BS36">
        <v>142.55000000000001</v>
      </c>
      <c r="BT36">
        <v>144.03</v>
      </c>
      <c r="BU36">
        <v>142.97999999999999</v>
      </c>
      <c r="BV36">
        <v>144.94</v>
      </c>
      <c r="BW36">
        <v>144.16999999999999</v>
      </c>
      <c r="BX36">
        <v>143.65</v>
      </c>
      <c r="BY36">
        <v>144.06</v>
      </c>
      <c r="BZ36">
        <v>143.55000000000001</v>
      </c>
      <c r="CA36" s="6">
        <v>142.229996</v>
      </c>
      <c r="CB36" s="6">
        <v>138.38999899999999</v>
      </c>
      <c r="CC36" s="6">
        <v>134.820007</v>
      </c>
      <c r="CD36" s="6">
        <v>136.14999399999999</v>
      </c>
      <c r="CE36" s="6">
        <v>133.949997</v>
      </c>
      <c r="CF36" s="6">
        <v>133.229996</v>
      </c>
      <c r="CG36" s="6">
        <v>138.91000399999999</v>
      </c>
      <c r="CH36" s="6">
        <v>137.240005</v>
      </c>
      <c r="CI36" s="6">
        <v>143.61999499999999</v>
      </c>
      <c r="CJ36" s="6">
        <v>139.55999800000001</v>
      </c>
      <c r="CK36" s="6">
        <v>137.050003</v>
      </c>
      <c r="CL36" s="6">
        <v>129.720001</v>
      </c>
      <c r="CM36" s="6">
        <v>132.720001</v>
      </c>
      <c r="CN36" s="6">
        <v>130.270004</v>
      </c>
      <c r="CO36" s="6">
        <v>120.279999</v>
      </c>
      <c r="CP36" s="6">
        <v>125.480003</v>
      </c>
      <c r="CQ36" s="6">
        <v>107.040001</v>
      </c>
      <c r="CR36" s="6">
        <v>111.050003</v>
      </c>
      <c r="CS36" s="6">
        <v>105.82</v>
      </c>
      <c r="CT36" s="6">
        <v>102.33000199999999</v>
      </c>
      <c r="CU36" s="6">
        <v>100.94000200000001</v>
      </c>
      <c r="CV36" s="6">
        <v>92.660004000000001</v>
      </c>
      <c r="CW36" s="6">
        <v>103.760002</v>
      </c>
      <c r="CX36" s="6">
        <v>108.209999</v>
      </c>
      <c r="CY36" s="6">
        <v>117.910004</v>
      </c>
      <c r="CZ36" s="6">
        <v>111.769997</v>
      </c>
      <c r="DA36" s="6">
        <v>116.68</v>
      </c>
      <c r="DB36" s="6">
        <v>117.69000200000001</v>
      </c>
    </row>
    <row r="37" spans="1:106">
      <c r="A37" s="3" t="s">
        <v>34</v>
      </c>
      <c r="B37">
        <v>162</v>
      </c>
      <c r="C37" s="6">
        <v>73.63</v>
      </c>
      <c r="D37" s="6">
        <v>75</v>
      </c>
      <c r="E37" s="6">
        <v>75.13</v>
      </c>
      <c r="F37" s="6">
        <v>75.400000000000006</v>
      </c>
      <c r="G37" s="6">
        <v>71.19</v>
      </c>
      <c r="H37" s="6">
        <v>70.430000000000007</v>
      </c>
      <c r="I37" s="6">
        <v>70.155000000000001</v>
      </c>
      <c r="J37" s="6">
        <v>70.08</v>
      </c>
      <c r="K37" s="6">
        <v>70.87</v>
      </c>
      <c r="L37" s="6">
        <v>70.67</v>
      </c>
      <c r="M37" s="6">
        <v>72.14</v>
      </c>
      <c r="N37" s="6">
        <v>72.7</v>
      </c>
      <c r="O37" s="6">
        <v>71.23</v>
      </c>
      <c r="P37" s="6">
        <v>72.489999999999995</v>
      </c>
      <c r="Q37" s="6">
        <v>74.36</v>
      </c>
      <c r="R37" s="6">
        <v>74.739999999999995</v>
      </c>
      <c r="S37" s="6">
        <v>74.92</v>
      </c>
      <c r="T37" s="6">
        <v>76.260000000000005</v>
      </c>
      <c r="U37" s="6">
        <v>76.62</v>
      </c>
      <c r="V37" s="6">
        <v>78.260000000000005</v>
      </c>
      <c r="W37" s="6">
        <v>76.67</v>
      </c>
      <c r="X37" s="6">
        <v>76.55</v>
      </c>
      <c r="Y37" s="6">
        <v>76.56</v>
      </c>
      <c r="Z37" s="6">
        <v>77.23</v>
      </c>
      <c r="AA37" s="6">
        <v>77.25</v>
      </c>
      <c r="AB37" s="6">
        <v>80.11</v>
      </c>
      <c r="AC37" s="6">
        <v>80.09</v>
      </c>
      <c r="AD37" s="6">
        <v>79.22</v>
      </c>
      <c r="AE37" s="6">
        <v>79.28</v>
      </c>
      <c r="AF37" s="6">
        <v>81.25</v>
      </c>
      <c r="AG37" s="6">
        <v>79.459999999999994</v>
      </c>
      <c r="AH37" s="6">
        <v>79.540000000000006</v>
      </c>
      <c r="AI37" s="6">
        <v>80.34</v>
      </c>
      <c r="AJ37" s="6">
        <v>80.62</v>
      </c>
      <c r="AK37" s="6">
        <v>83.4</v>
      </c>
      <c r="AL37" s="6">
        <v>84.42</v>
      </c>
      <c r="AM37" s="6">
        <v>84.39</v>
      </c>
      <c r="AN37" s="6">
        <v>84.64</v>
      </c>
      <c r="AO37" s="6">
        <v>83.9</v>
      </c>
      <c r="AP37" s="6">
        <v>83.66</v>
      </c>
      <c r="AQ37" s="6">
        <v>83.25</v>
      </c>
      <c r="AR37" s="6">
        <v>84.06</v>
      </c>
      <c r="AS37" s="6">
        <v>82.97</v>
      </c>
      <c r="AT37" s="6">
        <v>82.53</v>
      </c>
      <c r="AU37" s="6">
        <v>83.24</v>
      </c>
      <c r="AV37" s="6">
        <v>83.13</v>
      </c>
      <c r="AW37" s="6">
        <v>83.63</v>
      </c>
      <c r="AX37" s="6">
        <v>84.25</v>
      </c>
      <c r="AY37" s="6">
        <v>83.88</v>
      </c>
      <c r="AZ37" s="6">
        <v>85.42</v>
      </c>
      <c r="BA37" s="6">
        <v>86.27</v>
      </c>
      <c r="BB37" s="6">
        <v>89.13</v>
      </c>
      <c r="BC37" s="6">
        <v>91.04</v>
      </c>
      <c r="BD37" s="6">
        <v>90.95</v>
      </c>
      <c r="BE37" s="6">
        <v>91.08</v>
      </c>
      <c r="BF37" s="6">
        <v>91.75</v>
      </c>
      <c r="BG37" s="6">
        <v>91.17</v>
      </c>
      <c r="BH37" s="6">
        <v>88.07</v>
      </c>
      <c r="BI37" s="6">
        <v>87.68</v>
      </c>
      <c r="BJ37" s="6">
        <v>88.42</v>
      </c>
      <c r="BK37" s="6">
        <v>88.53</v>
      </c>
      <c r="BL37" s="6">
        <v>87.95</v>
      </c>
      <c r="BM37" s="6">
        <v>85.55</v>
      </c>
      <c r="BN37">
        <v>87.56</v>
      </c>
      <c r="BO37">
        <v>92.71</v>
      </c>
      <c r="BP37">
        <v>95.5</v>
      </c>
      <c r="BQ37">
        <v>94.98</v>
      </c>
      <c r="BR37">
        <v>93.17</v>
      </c>
      <c r="BS37">
        <v>93.94</v>
      </c>
      <c r="BT37">
        <v>96.9</v>
      </c>
      <c r="BU37">
        <v>96.92</v>
      </c>
      <c r="BV37">
        <v>97.78</v>
      </c>
      <c r="BW37">
        <v>97.86</v>
      </c>
      <c r="BX37">
        <v>98.17</v>
      </c>
      <c r="BY37">
        <v>100.3</v>
      </c>
      <c r="BZ37">
        <v>99.92</v>
      </c>
      <c r="CA37" s="6">
        <v>99.580001999999993</v>
      </c>
      <c r="CB37" s="6">
        <v>99.019997000000004</v>
      </c>
      <c r="CC37" s="6">
        <v>101.949997</v>
      </c>
      <c r="CD37" s="6">
        <v>100.480003</v>
      </c>
      <c r="CE37" s="6">
        <v>95.129997000000003</v>
      </c>
      <c r="CF37" s="6">
        <v>89.940002000000007</v>
      </c>
      <c r="CG37" s="6">
        <v>94.839995999999999</v>
      </c>
      <c r="CH37" s="6">
        <v>91.07</v>
      </c>
      <c r="CI37" s="6">
        <v>100.129997</v>
      </c>
      <c r="CJ37" s="6">
        <v>96.309997999999993</v>
      </c>
      <c r="CK37" s="6">
        <v>98.349997999999999</v>
      </c>
      <c r="CL37" s="6">
        <v>90.57</v>
      </c>
      <c r="CM37" s="6">
        <v>92.980002999999996</v>
      </c>
      <c r="CN37" s="6">
        <v>83.639999000000003</v>
      </c>
      <c r="CO37" s="6">
        <v>72.260002</v>
      </c>
      <c r="CP37" s="6">
        <v>77.589995999999999</v>
      </c>
      <c r="CQ37" s="6">
        <v>70.589995999999999</v>
      </c>
      <c r="CR37" s="6">
        <v>72.720000999999996</v>
      </c>
      <c r="CS37" s="6">
        <v>61.709999000000003</v>
      </c>
      <c r="CT37" s="6">
        <v>64.949996999999996</v>
      </c>
      <c r="CU37" s="6">
        <v>69.139999000000003</v>
      </c>
      <c r="CV37" s="6">
        <v>61.82</v>
      </c>
      <c r="CW37" s="6">
        <v>68.569999999999993</v>
      </c>
      <c r="CX37" s="6">
        <v>67.970000999999996</v>
      </c>
      <c r="CY37" s="6">
        <v>73.459998999999996</v>
      </c>
      <c r="CZ37" s="6">
        <v>66.860000999999997</v>
      </c>
      <c r="DA37" s="6">
        <v>75.069999999999993</v>
      </c>
      <c r="DB37" s="6">
        <v>73.379997000000003</v>
      </c>
    </row>
    <row r="38" spans="1:106">
      <c r="A38" s="3" t="s">
        <v>35</v>
      </c>
      <c r="B38">
        <v>96</v>
      </c>
      <c r="C38" s="6">
        <v>252.7</v>
      </c>
      <c r="D38" s="6">
        <v>252.21</v>
      </c>
      <c r="E38" s="6">
        <v>251.25</v>
      </c>
      <c r="F38" s="6">
        <v>250.3</v>
      </c>
      <c r="G38" s="6">
        <v>250.52</v>
      </c>
      <c r="H38" s="6">
        <v>256.45999999999998</v>
      </c>
      <c r="I38" s="6">
        <v>256.97000000000003</v>
      </c>
      <c r="J38" s="6">
        <v>254.09</v>
      </c>
      <c r="K38" s="6">
        <v>255.25</v>
      </c>
      <c r="L38" s="6">
        <v>253.57</v>
      </c>
      <c r="M38" s="6">
        <v>255.83</v>
      </c>
      <c r="N38" s="6">
        <v>269.39999999999998</v>
      </c>
      <c r="O38" s="6">
        <v>272.93</v>
      </c>
      <c r="P38" s="6">
        <v>274.23</v>
      </c>
      <c r="Q38" s="6">
        <v>275.56</v>
      </c>
      <c r="R38" s="6">
        <v>276.55</v>
      </c>
      <c r="S38" s="6">
        <v>276.83999999999997</v>
      </c>
      <c r="T38" s="6">
        <v>282.67</v>
      </c>
      <c r="U38" s="6">
        <v>281.39999999999998</v>
      </c>
      <c r="V38" s="6">
        <v>280.67</v>
      </c>
      <c r="W38" s="6">
        <v>279.87</v>
      </c>
      <c r="X38" s="6">
        <v>279.66000000000003</v>
      </c>
      <c r="Y38" s="6">
        <v>276.89999999999998</v>
      </c>
      <c r="Z38" s="6">
        <v>279.32</v>
      </c>
      <c r="AA38" s="6">
        <v>282</v>
      </c>
      <c r="AB38" s="6">
        <v>280.19</v>
      </c>
      <c r="AC38" s="6">
        <v>277.54000000000002</v>
      </c>
      <c r="AD38" s="6">
        <v>279.52</v>
      </c>
      <c r="AE38" s="6">
        <v>280.5</v>
      </c>
      <c r="AF38" s="6">
        <v>283.61</v>
      </c>
      <c r="AG38" s="6">
        <v>285.48</v>
      </c>
      <c r="AH38" s="6">
        <v>292.02999999999997</v>
      </c>
      <c r="AI38" s="6">
        <v>290.47000000000003</v>
      </c>
      <c r="AJ38" s="6">
        <v>292.89999999999998</v>
      </c>
      <c r="AK38" s="6">
        <v>294.62</v>
      </c>
      <c r="AL38" s="6">
        <v>292.58999999999997</v>
      </c>
      <c r="AM38" s="6">
        <v>295.08999999999997</v>
      </c>
      <c r="AN38" s="6">
        <v>294.54000000000002</v>
      </c>
      <c r="AO38" s="6">
        <v>295.64999999999998</v>
      </c>
      <c r="AP38" s="6">
        <v>295.97000000000003</v>
      </c>
      <c r="AQ38" s="6">
        <v>293.85000000000002</v>
      </c>
      <c r="AR38" s="6">
        <v>293.98</v>
      </c>
      <c r="AS38" s="6">
        <v>292.5</v>
      </c>
      <c r="AT38" s="6">
        <v>289.54000000000002</v>
      </c>
      <c r="AU38" s="6">
        <v>291.55</v>
      </c>
      <c r="AV38" s="6">
        <v>289.79000000000002</v>
      </c>
      <c r="AW38" s="6">
        <v>295.89999999999998</v>
      </c>
      <c r="AX38" s="6">
        <v>294.22000000000003</v>
      </c>
      <c r="AY38" s="6">
        <v>295.13</v>
      </c>
      <c r="AZ38" s="6">
        <v>285.85000000000002</v>
      </c>
      <c r="BA38" s="6">
        <v>288.24</v>
      </c>
      <c r="BB38" s="6">
        <v>296.41000000000003</v>
      </c>
      <c r="BC38" s="6">
        <v>300.74</v>
      </c>
      <c r="BD38" s="6">
        <v>298.47000000000003</v>
      </c>
      <c r="BE38" s="6">
        <v>300.52999999999997</v>
      </c>
      <c r="BF38" s="6">
        <v>300.58999999999997</v>
      </c>
      <c r="BG38" s="6">
        <v>299.45999999999998</v>
      </c>
      <c r="BH38" s="6">
        <v>292.81</v>
      </c>
      <c r="BI38" s="6">
        <v>284.08999999999997</v>
      </c>
      <c r="BJ38" s="6">
        <v>285.87</v>
      </c>
      <c r="BK38" s="6">
        <v>282.89999999999998</v>
      </c>
      <c r="BL38" s="6">
        <v>280.98</v>
      </c>
      <c r="BM38" s="6">
        <v>272.45</v>
      </c>
      <c r="BN38">
        <v>274.02</v>
      </c>
      <c r="BO38">
        <v>280.83999999999997</v>
      </c>
      <c r="BP38">
        <v>295.73</v>
      </c>
      <c r="BQ38">
        <v>292.45999999999998</v>
      </c>
      <c r="BR38">
        <v>289.22000000000003</v>
      </c>
      <c r="BS38">
        <v>287.02999999999997</v>
      </c>
      <c r="BT38">
        <v>290.79000000000002</v>
      </c>
      <c r="BU38">
        <v>303.48</v>
      </c>
      <c r="BV38">
        <v>302.2</v>
      </c>
      <c r="BW38">
        <v>298.77999999999997</v>
      </c>
      <c r="BX38">
        <v>302.14</v>
      </c>
      <c r="BY38">
        <v>305.31</v>
      </c>
      <c r="BZ38">
        <v>302.13</v>
      </c>
      <c r="CA38" s="6">
        <v>300.12994400000002</v>
      </c>
      <c r="CB38" s="6">
        <v>276.59191900000002</v>
      </c>
      <c r="CC38" s="6">
        <v>262.25402800000001</v>
      </c>
      <c r="CD38" s="6">
        <v>261.86569200000002</v>
      </c>
      <c r="CE38" s="6">
        <v>252.82486</v>
      </c>
      <c r="CF38" s="6">
        <v>253.86038199999999</v>
      </c>
      <c r="CG38" s="6">
        <v>271.93206800000002</v>
      </c>
      <c r="CH38" s="6">
        <v>260.272583</v>
      </c>
      <c r="CI38" s="6">
        <v>288.17175300000002</v>
      </c>
      <c r="CJ38" s="6">
        <v>281.73959400000001</v>
      </c>
      <c r="CK38" s="6">
        <v>282.645691</v>
      </c>
      <c r="CL38" s="6">
        <v>272.26068099999998</v>
      </c>
      <c r="CM38" s="6">
        <v>278.79238900000001</v>
      </c>
      <c r="CN38" s="6">
        <v>276.58193999999997</v>
      </c>
      <c r="CO38" s="6">
        <v>249.33000200000001</v>
      </c>
      <c r="CP38" s="6">
        <v>272.040009</v>
      </c>
      <c r="CQ38" s="6">
        <v>225.03999300000001</v>
      </c>
      <c r="CR38" s="6">
        <v>244.220001</v>
      </c>
      <c r="CS38" s="6">
        <v>217.05999800000001</v>
      </c>
      <c r="CT38" s="6">
        <v>219.800003</v>
      </c>
      <c r="CU38" s="6">
        <v>206.58999600000001</v>
      </c>
      <c r="CV38" s="6">
        <v>194.86000100000001</v>
      </c>
      <c r="CW38" s="6">
        <v>219.800003</v>
      </c>
      <c r="CX38" s="6">
        <v>234.490005</v>
      </c>
      <c r="CY38" s="6">
        <v>255.38999899999999</v>
      </c>
      <c r="CZ38" s="6">
        <v>242.449997</v>
      </c>
      <c r="DA38" s="6">
        <v>251.279999</v>
      </c>
      <c r="DB38" s="6">
        <v>249.38000500000001</v>
      </c>
    </row>
    <row r="39" spans="1:106">
      <c r="A39" s="3" t="s">
        <v>36</v>
      </c>
      <c r="B39">
        <v>287</v>
      </c>
      <c r="C39" s="6">
        <v>83.61</v>
      </c>
      <c r="D39" s="6">
        <v>82.66</v>
      </c>
      <c r="E39" s="6">
        <v>82.22</v>
      </c>
      <c r="F39" s="6">
        <v>82.34</v>
      </c>
      <c r="G39" s="6">
        <v>83.12</v>
      </c>
      <c r="H39" s="6">
        <v>83.39</v>
      </c>
      <c r="I39" s="6">
        <v>83.74</v>
      </c>
      <c r="J39" s="6">
        <v>83.76</v>
      </c>
      <c r="K39" s="6">
        <v>84.34</v>
      </c>
      <c r="L39" s="6">
        <v>84.22</v>
      </c>
      <c r="M39" s="6">
        <v>84.12</v>
      </c>
      <c r="N39" s="6">
        <v>85.71</v>
      </c>
      <c r="O39" s="6">
        <v>84.26</v>
      </c>
      <c r="P39" s="6">
        <v>84.29</v>
      </c>
      <c r="Q39" s="6">
        <v>83.89</v>
      </c>
      <c r="R39" s="6">
        <v>83.68</v>
      </c>
      <c r="S39" s="6">
        <v>83.74</v>
      </c>
      <c r="T39" s="6">
        <v>84.49</v>
      </c>
      <c r="U39" s="6">
        <v>85.42</v>
      </c>
      <c r="V39" s="6">
        <v>85.42</v>
      </c>
      <c r="W39" s="6">
        <v>85.45</v>
      </c>
      <c r="X39" s="6">
        <v>84.51</v>
      </c>
      <c r="Y39" s="6">
        <v>84.36</v>
      </c>
      <c r="Z39" s="6">
        <v>85.18</v>
      </c>
      <c r="AA39" s="6">
        <v>85.24</v>
      </c>
      <c r="AB39" s="6">
        <v>85.48</v>
      </c>
      <c r="AC39" s="6">
        <v>83.87</v>
      </c>
      <c r="AD39" s="6">
        <v>84.56</v>
      </c>
      <c r="AE39" s="6">
        <v>84.91</v>
      </c>
      <c r="AF39" s="6">
        <v>85.97</v>
      </c>
      <c r="AG39" s="6">
        <v>86.35</v>
      </c>
      <c r="AH39" s="6">
        <v>86.4</v>
      </c>
      <c r="AI39" s="6">
        <v>87.06</v>
      </c>
      <c r="AJ39" s="6">
        <v>86.93</v>
      </c>
      <c r="AK39" s="6">
        <v>87.35</v>
      </c>
      <c r="AL39" s="6">
        <v>86.66</v>
      </c>
      <c r="AM39" s="6">
        <v>87.35</v>
      </c>
      <c r="AN39" s="6">
        <v>87.28</v>
      </c>
      <c r="AO39" s="6">
        <v>87.28</v>
      </c>
      <c r="AP39" s="6">
        <v>87.4</v>
      </c>
      <c r="AQ39" s="6">
        <v>86.8</v>
      </c>
      <c r="AR39" s="6">
        <v>86.86</v>
      </c>
      <c r="AS39" s="6">
        <v>86.95</v>
      </c>
      <c r="AT39" s="6">
        <v>85.89</v>
      </c>
      <c r="AU39" s="6">
        <v>86.34</v>
      </c>
      <c r="AV39" s="6">
        <v>85.86</v>
      </c>
      <c r="AW39" s="6">
        <v>86.21</v>
      </c>
      <c r="AX39" s="6">
        <v>86.44</v>
      </c>
      <c r="AY39" s="6">
        <v>85.36</v>
      </c>
      <c r="AZ39" s="6">
        <v>85.12</v>
      </c>
      <c r="BA39" s="6">
        <v>85.74</v>
      </c>
      <c r="BB39" s="6">
        <v>87.38</v>
      </c>
      <c r="BC39" s="6">
        <v>88.28</v>
      </c>
      <c r="BD39" s="6">
        <v>89</v>
      </c>
      <c r="BE39" s="6">
        <v>89.73</v>
      </c>
      <c r="BF39" s="6">
        <v>91.86</v>
      </c>
      <c r="BG39" s="6">
        <v>90.73</v>
      </c>
      <c r="BH39" s="6">
        <v>90.4</v>
      </c>
      <c r="BI39" s="6">
        <v>89.59</v>
      </c>
      <c r="BJ39" s="6">
        <v>89.54</v>
      </c>
      <c r="BK39" s="6">
        <v>89.14</v>
      </c>
      <c r="BL39" s="6">
        <v>89.16</v>
      </c>
      <c r="BM39" s="6">
        <v>87.14</v>
      </c>
      <c r="BN39">
        <v>87.06</v>
      </c>
      <c r="BO39">
        <v>88.23</v>
      </c>
      <c r="BP39">
        <v>89.56</v>
      </c>
      <c r="BQ39">
        <v>89.47</v>
      </c>
      <c r="BR39">
        <v>87.87</v>
      </c>
      <c r="BS39">
        <v>88.3</v>
      </c>
      <c r="BT39">
        <v>89.17</v>
      </c>
      <c r="BU39">
        <v>88.79</v>
      </c>
      <c r="BV39">
        <v>88.68</v>
      </c>
      <c r="BW39">
        <v>89.66</v>
      </c>
      <c r="BX39">
        <v>88.88</v>
      </c>
      <c r="BY39">
        <v>89.36</v>
      </c>
      <c r="BZ39">
        <v>88.46</v>
      </c>
      <c r="CA39" s="6">
        <v>87.449996999999996</v>
      </c>
      <c r="CB39" s="6">
        <v>84.629997000000003</v>
      </c>
      <c r="CC39" s="6">
        <v>81.129997000000003</v>
      </c>
      <c r="CD39" s="6">
        <v>81.360000999999997</v>
      </c>
      <c r="CE39" s="6">
        <v>79.190002000000007</v>
      </c>
      <c r="CF39" s="6">
        <v>77.029999000000004</v>
      </c>
      <c r="CG39" s="6">
        <v>81.610000999999997</v>
      </c>
      <c r="CH39" s="6">
        <v>77.989998</v>
      </c>
      <c r="CI39" s="6">
        <v>82.089995999999999</v>
      </c>
      <c r="CJ39" s="6">
        <v>80.519997000000004</v>
      </c>
      <c r="CK39" s="6">
        <v>81.739998</v>
      </c>
      <c r="CL39" s="6">
        <v>77.019997000000004</v>
      </c>
      <c r="CM39" s="6">
        <v>80.879997000000003</v>
      </c>
      <c r="CN39" s="6">
        <v>78.089995999999999</v>
      </c>
      <c r="CO39" s="6">
        <v>74.739998</v>
      </c>
      <c r="CP39" s="6">
        <v>81.650002000000001</v>
      </c>
      <c r="CQ39" s="6">
        <v>73.660004000000001</v>
      </c>
      <c r="CR39" s="6">
        <v>79.489998</v>
      </c>
      <c r="CS39" s="6">
        <v>79.260002</v>
      </c>
      <c r="CT39" s="6">
        <v>74.5</v>
      </c>
      <c r="CU39" s="6">
        <v>68</v>
      </c>
      <c r="CV39" s="6">
        <v>62.82</v>
      </c>
      <c r="CW39" s="6">
        <v>69.690002000000007</v>
      </c>
      <c r="CX39" s="6">
        <v>70.75</v>
      </c>
      <c r="CY39" s="6">
        <v>75.809997999999993</v>
      </c>
      <c r="CZ39" s="6">
        <v>74.559997999999993</v>
      </c>
      <c r="DA39" s="6">
        <v>79.339995999999999</v>
      </c>
      <c r="DB39" s="6">
        <v>78.910004000000001</v>
      </c>
    </row>
    <row r="40" spans="1:106">
      <c r="A40" s="3" t="s">
        <v>37</v>
      </c>
      <c r="B40">
        <v>208</v>
      </c>
      <c r="C40" s="6">
        <v>86.66</v>
      </c>
      <c r="D40" s="6">
        <v>84.94</v>
      </c>
      <c r="E40" s="6">
        <v>83.9</v>
      </c>
      <c r="F40" s="6">
        <v>82.92</v>
      </c>
      <c r="G40" s="6">
        <v>83.25</v>
      </c>
      <c r="H40" s="6">
        <v>82.88</v>
      </c>
      <c r="I40" s="6">
        <v>83.59</v>
      </c>
      <c r="J40" s="6">
        <v>83.28</v>
      </c>
      <c r="K40" s="6">
        <v>84.12</v>
      </c>
      <c r="L40" s="6">
        <v>84.82</v>
      </c>
      <c r="M40" s="6">
        <v>84.55</v>
      </c>
      <c r="N40" s="6">
        <v>84.9</v>
      </c>
      <c r="O40" s="6">
        <v>84.13</v>
      </c>
      <c r="P40" s="6">
        <v>84.65</v>
      </c>
      <c r="Q40" s="6">
        <v>85.27</v>
      </c>
      <c r="R40" s="6">
        <v>85.46</v>
      </c>
      <c r="S40" s="6">
        <v>85.45</v>
      </c>
      <c r="T40" s="6">
        <v>85.7</v>
      </c>
      <c r="U40" s="6">
        <v>87.34</v>
      </c>
      <c r="V40" s="6">
        <v>87.61</v>
      </c>
      <c r="W40" s="6">
        <v>87.18</v>
      </c>
      <c r="X40" s="6">
        <v>87.04</v>
      </c>
      <c r="Y40" s="6">
        <v>87.38</v>
      </c>
      <c r="Z40" s="6">
        <v>88.67</v>
      </c>
      <c r="AA40" s="6">
        <v>88.75</v>
      </c>
      <c r="AB40" s="6">
        <v>88.85</v>
      </c>
      <c r="AC40" s="6">
        <v>88.72</v>
      </c>
      <c r="AD40" s="6">
        <v>89.1</v>
      </c>
      <c r="AE40" s="6">
        <v>88.98</v>
      </c>
      <c r="AF40" s="6">
        <v>89.57</v>
      </c>
      <c r="AG40" s="6">
        <v>89.19</v>
      </c>
      <c r="AH40" s="6">
        <v>89.29</v>
      </c>
      <c r="AI40" s="6">
        <v>89.02</v>
      </c>
      <c r="AJ40" s="6">
        <v>89.62</v>
      </c>
      <c r="AK40" s="6">
        <v>89.99</v>
      </c>
      <c r="AL40" s="6">
        <v>91.58</v>
      </c>
      <c r="AM40" s="6">
        <v>91.74</v>
      </c>
      <c r="AN40" s="6">
        <v>91.44</v>
      </c>
      <c r="AO40" s="6">
        <v>91.34</v>
      </c>
      <c r="AP40" s="6">
        <v>91.5</v>
      </c>
      <c r="AQ40" s="6">
        <v>91.03</v>
      </c>
      <c r="AR40" s="6">
        <v>90.95</v>
      </c>
      <c r="AS40" s="6">
        <v>92.04</v>
      </c>
      <c r="AT40" s="6">
        <v>91.25</v>
      </c>
      <c r="AU40" s="6">
        <v>91.64</v>
      </c>
      <c r="AV40" s="6">
        <v>89.2</v>
      </c>
      <c r="AW40" s="6">
        <v>88.6</v>
      </c>
      <c r="AX40" s="6">
        <v>89.38</v>
      </c>
      <c r="AY40" s="6">
        <v>89.53</v>
      </c>
      <c r="AZ40" s="6">
        <v>89.51</v>
      </c>
      <c r="BA40" s="6">
        <v>89.93</v>
      </c>
      <c r="BB40" s="6">
        <v>91.54</v>
      </c>
      <c r="BC40" s="6">
        <v>91.18</v>
      </c>
      <c r="BD40" s="6">
        <v>90.97</v>
      </c>
      <c r="BE40" s="6">
        <v>89.97</v>
      </c>
      <c r="BF40" s="6">
        <v>89.65</v>
      </c>
      <c r="BG40" s="6">
        <v>88.56</v>
      </c>
      <c r="BH40" s="6">
        <v>85.98</v>
      </c>
      <c r="BI40" s="6">
        <v>86.1</v>
      </c>
      <c r="BJ40" s="6">
        <v>86.25</v>
      </c>
      <c r="BK40" s="6">
        <v>87.24</v>
      </c>
      <c r="BL40" s="6">
        <v>86.5</v>
      </c>
      <c r="BM40" s="6">
        <v>85.44</v>
      </c>
      <c r="BN40">
        <v>87.34</v>
      </c>
      <c r="BO40">
        <v>88.36</v>
      </c>
      <c r="BP40">
        <v>85.83</v>
      </c>
      <c r="BQ40">
        <v>85.68</v>
      </c>
      <c r="BR40">
        <v>85.08</v>
      </c>
      <c r="BS40">
        <v>85.66</v>
      </c>
      <c r="BT40">
        <v>85.25</v>
      </c>
      <c r="BU40">
        <v>83.25</v>
      </c>
      <c r="BV40">
        <v>81.97</v>
      </c>
      <c r="BW40">
        <v>82.65</v>
      </c>
      <c r="BX40">
        <v>82.46</v>
      </c>
      <c r="BY40">
        <v>82</v>
      </c>
      <c r="BZ40">
        <v>82.49</v>
      </c>
      <c r="CA40" s="6">
        <v>81.665351999999999</v>
      </c>
      <c r="CB40" s="6">
        <v>80.663628000000003</v>
      </c>
      <c r="CC40" s="6">
        <v>79.612312000000003</v>
      </c>
      <c r="CD40" s="6">
        <v>79.285019000000005</v>
      </c>
      <c r="CE40" s="6">
        <v>77.440262000000004</v>
      </c>
      <c r="CF40" s="6">
        <v>75.932709000000003</v>
      </c>
      <c r="CG40" s="6">
        <v>80.703299999999999</v>
      </c>
      <c r="CH40" s="6">
        <v>78.481650999999999</v>
      </c>
      <c r="CI40" s="6">
        <v>82.290192000000005</v>
      </c>
      <c r="CJ40" s="6">
        <v>80.911582999999993</v>
      </c>
      <c r="CK40" s="6">
        <v>81.526497000000006</v>
      </c>
      <c r="CL40" s="6">
        <v>78.313049000000007</v>
      </c>
      <c r="CM40" s="6">
        <v>81.347969000000006</v>
      </c>
      <c r="CN40" s="6">
        <v>78.600669999999994</v>
      </c>
      <c r="CO40" s="6">
        <v>73.839995999999999</v>
      </c>
      <c r="CP40" s="6">
        <v>76.75</v>
      </c>
      <c r="CQ40" s="6">
        <v>69.919998000000007</v>
      </c>
      <c r="CR40" s="6">
        <v>74.480002999999996</v>
      </c>
      <c r="CS40" s="6">
        <v>71.629997000000003</v>
      </c>
      <c r="CT40" s="6">
        <v>70.730002999999996</v>
      </c>
      <c r="CU40" s="6">
        <v>71.360000999999997</v>
      </c>
      <c r="CV40" s="6">
        <v>66.400002000000001</v>
      </c>
      <c r="CW40" s="6">
        <v>69.050003000000004</v>
      </c>
      <c r="CX40" s="6">
        <v>68.220000999999996</v>
      </c>
      <c r="CY40" s="6">
        <v>73.529999000000004</v>
      </c>
      <c r="CZ40" s="6">
        <v>71.730002999999996</v>
      </c>
      <c r="DA40" s="6">
        <v>76.949996999999996</v>
      </c>
      <c r="DB40" s="6">
        <v>76.940002000000007</v>
      </c>
    </row>
    <row r="41" spans="1:106">
      <c r="A41" s="2" t="s">
        <v>38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</row>
    <row r="42" spans="1:106">
      <c r="A42" s="3" t="s">
        <v>39</v>
      </c>
      <c r="B42">
        <v>313</v>
      </c>
      <c r="C42" s="6">
        <v>57.73</v>
      </c>
      <c r="D42" s="6">
        <v>58.72</v>
      </c>
      <c r="E42" s="6">
        <v>59.79</v>
      </c>
      <c r="F42" s="6">
        <v>59.97</v>
      </c>
      <c r="G42" s="6">
        <v>59.88</v>
      </c>
      <c r="H42" s="6">
        <v>62.59</v>
      </c>
      <c r="I42" s="6">
        <v>62.74</v>
      </c>
      <c r="J42" s="6">
        <v>62.204999999999998</v>
      </c>
      <c r="K42" s="6">
        <v>62.94</v>
      </c>
      <c r="L42" s="6">
        <v>63.18</v>
      </c>
      <c r="M42" s="6">
        <v>63.29</v>
      </c>
      <c r="N42" s="6">
        <v>63.51</v>
      </c>
      <c r="O42" s="6">
        <v>63.27</v>
      </c>
      <c r="P42" s="6">
        <v>63.35</v>
      </c>
      <c r="Q42" s="6">
        <v>63.37</v>
      </c>
      <c r="R42" s="6">
        <v>63.55</v>
      </c>
      <c r="S42" s="6">
        <v>63.24</v>
      </c>
      <c r="T42" s="6">
        <v>64.105000000000004</v>
      </c>
      <c r="U42" s="6">
        <v>64.77</v>
      </c>
      <c r="V42" s="6">
        <v>64.62</v>
      </c>
      <c r="W42" s="6">
        <v>64.44</v>
      </c>
      <c r="X42" s="6">
        <v>64.48</v>
      </c>
      <c r="Y42" s="6">
        <v>65</v>
      </c>
      <c r="Z42" s="6">
        <v>65.41</v>
      </c>
      <c r="AA42" s="6">
        <v>64.510000000000005</v>
      </c>
      <c r="AB42" s="6">
        <v>64.555000000000007</v>
      </c>
      <c r="AC42" s="6">
        <v>63.89</v>
      </c>
      <c r="AD42" s="6">
        <v>63.94</v>
      </c>
      <c r="AE42" s="6">
        <v>65.19</v>
      </c>
      <c r="AF42" s="6">
        <v>65.69</v>
      </c>
      <c r="AG42" s="6">
        <v>65.55</v>
      </c>
      <c r="AH42" s="6">
        <v>66.739999999999995</v>
      </c>
      <c r="AI42" s="6">
        <v>65.78</v>
      </c>
      <c r="AJ42" s="6">
        <v>64.849999999999994</v>
      </c>
      <c r="AK42" s="6">
        <v>65.37</v>
      </c>
      <c r="AL42" s="6">
        <v>65.17</v>
      </c>
      <c r="AM42" s="6">
        <v>65.025000000000006</v>
      </c>
      <c r="AN42" s="6">
        <v>64.73</v>
      </c>
      <c r="AO42" s="6">
        <v>65.33</v>
      </c>
      <c r="AP42" s="6">
        <v>65.81</v>
      </c>
      <c r="AQ42" s="6">
        <v>64.67</v>
      </c>
      <c r="AR42" s="6">
        <v>64.97</v>
      </c>
      <c r="AS42" s="6">
        <v>66.510000000000005</v>
      </c>
      <c r="AT42" s="6">
        <v>64.75</v>
      </c>
      <c r="AU42" s="6">
        <v>65.010000000000005</v>
      </c>
      <c r="AV42" s="6">
        <v>64.739999999999995</v>
      </c>
      <c r="AW42" s="6">
        <v>65.239999999999995</v>
      </c>
      <c r="AX42" s="6">
        <v>65.760000000000005</v>
      </c>
      <c r="AY42" s="6">
        <v>64.319999999999993</v>
      </c>
      <c r="AZ42" s="6">
        <v>64.45</v>
      </c>
      <c r="BA42" s="6">
        <v>64.64</v>
      </c>
      <c r="BB42" s="6">
        <v>64.41</v>
      </c>
      <c r="BC42" s="6">
        <v>64.75</v>
      </c>
      <c r="BD42" s="6">
        <v>64.86</v>
      </c>
      <c r="BE42" s="6">
        <v>64.69</v>
      </c>
      <c r="BF42" s="6">
        <v>64.19</v>
      </c>
      <c r="BG42" s="6">
        <v>64.09</v>
      </c>
      <c r="BH42" s="6">
        <v>64.64</v>
      </c>
      <c r="BI42" s="6">
        <v>63.23</v>
      </c>
      <c r="BJ42" s="6">
        <v>63.61</v>
      </c>
      <c r="BK42" s="6">
        <v>63.85</v>
      </c>
      <c r="BL42" s="6">
        <v>63.11</v>
      </c>
      <c r="BM42" s="6">
        <v>61.54</v>
      </c>
      <c r="BN42">
        <v>61.32</v>
      </c>
      <c r="BO42">
        <v>61.69</v>
      </c>
      <c r="BP42">
        <v>62.26</v>
      </c>
      <c r="BQ42">
        <v>59.47</v>
      </c>
      <c r="BR42">
        <v>59.01</v>
      </c>
      <c r="BS42">
        <v>59.15</v>
      </c>
      <c r="BT42">
        <v>59.66</v>
      </c>
      <c r="BU42">
        <v>59.55</v>
      </c>
      <c r="BV42">
        <v>58.042000000000002</v>
      </c>
      <c r="BW42">
        <v>57.73</v>
      </c>
      <c r="BX42">
        <v>57.74</v>
      </c>
      <c r="BY42">
        <v>57.59</v>
      </c>
      <c r="BZ42">
        <v>57.55</v>
      </c>
      <c r="CA42" s="6">
        <v>56.900002000000001</v>
      </c>
      <c r="CB42" s="6">
        <v>54.5</v>
      </c>
      <c r="CC42" s="6">
        <v>53.02</v>
      </c>
      <c r="CD42" s="6">
        <v>52.75</v>
      </c>
      <c r="CE42" s="6">
        <v>52.279998999999997</v>
      </c>
      <c r="CF42" s="6">
        <v>51.389999000000003</v>
      </c>
      <c r="CG42" s="6">
        <v>51.689999</v>
      </c>
      <c r="CH42" s="6">
        <v>50.799999</v>
      </c>
      <c r="CI42" s="6">
        <v>51.66</v>
      </c>
      <c r="CJ42" s="6">
        <v>49.939999</v>
      </c>
      <c r="CK42" s="6">
        <v>49.290000999999997</v>
      </c>
      <c r="CL42" s="6">
        <v>45.209999000000003</v>
      </c>
      <c r="CM42" s="6">
        <v>46.66</v>
      </c>
      <c r="CN42" s="6">
        <v>44.389999000000003</v>
      </c>
      <c r="CO42" s="6">
        <v>39</v>
      </c>
      <c r="CP42" s="6">
        <v>40.400002000000001</v>
      </c>
      <c r="CQ42" s="6">
        <v>35.360000999999997</v>
      </c>
      <c r="CR42" s="6">
        <v>36.93</v>
      </c>
      <c r="CS42" s="6">
        <v>33.099997999999999</v>
      </c>
      <c r="CT42" s="6">
        <v>32.770000000000003</v>
      </c>
      <c r="CU42" s="6">
        <v>34.529998999999997</v>
      </c>
      <c r="CV42" s="6">
        <v>36.400002000000001</v>
      </c>
      <c r="CW42" s="6">
        <v>40.439999</v>
      </c>
      <c r="CX42" s="6">
        <v>40.970001000000003</v>
      </c>
      <c r="CY42" s="6">
        <v>42.349997999999999</v>
      </c>
      <c r="CZ42" s="6">
        <v>40.310001</v>
      </c>
      <c r="DA42" s="6">
        <v>41.610000999999997</v>
      </c>
      <c r="DB42" s="6">
        <v>42</v>
      </c>
    </row>
    <row r="43" spans="1:106">
      <c r="A43" s="3" t="s">
        <v>40</v>
      </c>
      <c r="B43">
        <v>36</v>
      </c>
      <c r="C43" s="6">
        <v>174.14</v>
      </c>
      <c r="D43" s="6">
        <v>176.11</v>
      </c>
      <c r="E43" s="6">
        <v>179.1</v>
      </c>
      <c r="F43" s="6">
        <v>178.92</v>
      </c>
      <c r="G43" s="6">
        <v>175.97</v>
      </c>
      <c r="H43" s="6">
        <v>177.89</v>
      </c>
      <c r="I43" s="6">
        <v>178.36</v>
      </c>
      <c r="J43" s="6">
        <v>179.8</v>
      </c>
      <c r="K43" s="6">
        <v>176.39</v>
      </c>
      <c r="L43" s="6">
        <v>175.67</v>
      </c>
      <c r="M43" s="6">
        <v>174.38</v>
      </c>
      <c r="N43" s="6">
        <v>174.48</v>
      </c>
      <c r="O43" s="6">
        <v>174.91</v>
      </c>
      <c r="P43" s="6">
        <v>173.65</v>
      </c>
      <c r="Q43" s="6">
        <v>172.07</v>
      </c>
      <c r="R43" s="6">
        <v>176.03</v>
      </c>
      <c r="S43" s="6">
        <v>175.38</v>
      </c>
      <c r="T43" s="6">
        <v>176.61</v>
      </c>
      <c r="U43" s="6">
        <v>176.65</v>
      </c>
      <c r="V43" s="6">
        <v>169.06</v>
      </c>
      <c r="W43" s="6">
        <v>168.05</v>
      </c>
      <c r="X43" s="6">
        <v>165.29</v>
      </c>
      <c r="Y43" s="6">
        <v>163.5</v>
      </c>
      <c r="Z43" s="6">
        <v>165.27</v>
      </c>
      <c r="AA43" s="6">
        <v>164.58</v>
      </c>
      <c r="AB43" s="6">
        <v>165.21</v>
      </c>
      <c r="AC43" s="6">
        <v>167.9</v>
      </c>
      <c r="AD43" s="6">
        <v>169.9</v>
      </c>
      <c r="AE43" s="6">
        <v>169.7</v>
      </c>
      <c r="AF43" s="6">
        <v>173.82</v>
      </c>
      <c r="AG43" s="6">
        <v>172.5</v>
      </c>
      <c r="AH43" s="6">
        <v>172.85</v>
      </c>
      <c r="AI43" s="6">
        <v>173.84</v>
      </c>
      <c r="AJ43" s="6">
        <v>172.61</v>
      </c>
      <c r="AK43" s="6">
        <v>172.76</v>
      </c>
      <c r="AL43" s="6">
        <v>174.65</v>
      </c>
      <c r="AM43" s="6">
        <v>175.05</v>
      </c>
      <c r="AN43" s="6">
        <v>174.5</v>
      </c>
      <c r="AO43" s="6">
        <v>174.8</v>
      </c>
      <c r="AP43" s="6">
        <v>175.81</v>
      </c>
      <c r="AQ43" s="6">
        <v>174.16</v>
      </c>
      <c r="AR43" s="6">
        <v>173.26</v>
      </c>
      <c r="AS43" s="6">
        <v>176.86</v>
      </c>
      <c r="AT43" s="6">
        <v>175.55</v>
      </c>
      <c r="AU43" s="6">
        <v>176.81</v>
      </c>
      <c r="AV43" s="6">
        <v>173.74</v>
      </c>
      <c r="AW43" s="6">
        <v>175.9</v>
      </c>
      <c r="AX43" s="6">
        <v>177.6</v>
      </c>
      <c r="AY43" s="6">
        <v>173.43</v>
      </c>
      <c r="AZ43" s="6">
        <v>174.74</v>
      </c>
      <c r="BA43" s="6">
        <v>173.67</v>
      </c>
      <c r="BB43" s="6">
        <v>172.92</v>
      </c>
      <c r="BC43" s="6">
        <v>175.47</v>
      </c>
      <c r="BD43" s="6">
        <v>176.2</v>
      </c>
      <c r="BE43" s="6">
        <v>172.56</v>
      </c>
      <c r="BF43" s="6">
        <v>171.16</v>
      </c>
      <c r="BG43" s="6">
        <v>172.06</v>
      </c>
      <c r="BH43" s="6">
        <v>170.12</v>
      </c>
      <c r="BI43" s="6">
        <v>163.28</v>
      </c>
      <c r="BJ43" s="6">
        <v>162.97999999999999</v>
      </c>
      <c r="BK43" s="6">
        <v>160.16</v>
      </c>
      <c r="BL43" s="6">
        <v>161.11000000000001</v>
      </c>
      <c r="BM43" s="6">
        <v>158.58000000000001</v>
      </c>
      <c r="BN43">
        <v>158.29</v>
      </c>
      <c r="BO43">
        <v>164.43</v>
      </c>
      <c r="BP43">
        <v>168.35</v>
      </c>
      <c r="BQ43">
        <v>168.86</v>
      </c>
      <c r="BR43">
        <v>167.45</v>
      </c>
      <c r="BS43">
        <v>168.24</v>
      </c>
      <c r="BT43">
        <v>170.26</v>
      </c>
      <c r="BU43">
        <v>171.83</v>
      </c>
      <c r="BV43">
        <v>170.76</v>
      </c>
      <c r="BW43">
        <v>168.07</v>
      </c>
      <c r="BX43">
        <v>166.3</v>
      </c>
      <c r="BY43">
        <v>164.93</v>
      </c>
      <c r="BZ43">
        <v>165.83</v>
      </c>
      <c r="CA43" s="6">
        <v>176.43193099999999</v>
      </c>
      <c r="CB43" s="6">
        <v>170.89328</v>
      </c>
      <c r="CC43" s="6">
        <v>165.71257</v>
      </c>
      <c r="CD43" s="6">
        <v>165.981064</v>
      </c>
      <c r="CE43" s="6">
        <v>159.090057</v>
      </c>
      <c r="CF43" s="6">
        <v>155.59979200000001</v>
      </c>
      <c r="CG43" s="6">
        <v>162.99794</v>
      </c>
      <c r="CH43" s="6">
        <v>156.892471</v>
      </c>
      <c r="CI43" s="6">
        <v>162.152725</v>
      </c>
      <c r="CJ43" s="6">
        <v>158.17523199999999</v>
      </c>
      <c r="CK43" s="6">
        <v>163.11726400000001</v>
      </c>
      <c r="CL43" s="6">
        <v>149.15623500000001</v>
      </c>
      <c r="CM43" s="6">
        <v>154.118179</v>
      </c>
      <c r="CN43" s="6">
        <v>145.05941799999999</v>
      </c>
      <c r="CO43" s="6">
        <v>129.65654000000001</v>
      </c>
      <c r="CP43" s="6">
        <v>138.17834500000001</v>
      </c>
      <c r="CQ43" s="6">
        <v>119.37470999999999</v>
      </c>
      <c r="CR43" s="6">
        <v>125.997246</v>
      </c>
      <c r="CS43" s="6">
        <v>113.56755800000001</v>
      </c>
      <c r="CT43" s="6">
        <v>118.986908</v>
      </c>
      <c r="CU43" s="6">
        <v>111.00206799999999</v>
      </c>
      <c r="CV43" s="6">
        <v>110.524773</v>
      </c>
      <c r="CW43" s="6">
        <v>125.291245</v>
      </c>
      <c r="CX43" s="6">
        <v>127.767242</v>
      </c>
      <c r="CY43" s="6">
        <v>138.307602</v>
      </c>
      <c r="CZ43" s="6">
        <v>134.34999099999999</v>
      </c>
      <c r="DA43" s="6">
        <v>141.229996</v>
      </c>
      <c r="DB43" s="6">
        <v>138.16000399999999</v>
      </c>
    </row>
    <row r="44" spans="1:106">
      <c r="A44" s="3" t="s">
        <v>41</v>
      </c>
      <c r="B44">
        <v>72</v>
      </c>
      <c r="C44" s="6">
        <v>82.64</v>
      </c>
      <c r="D44" s="6">
        <v>83.43</v>
      </c>
      <c r="E44" s="6">
        <v>83.98</v>
      </c>
      <c r="F44" s="6">
        <v>83.76</v>
      </c>
      <c r="G44" s="6">
        <v>83.92</v>
      </c>
      <c r="H44" s="6">
        <v>83.87</v>
      </c>
      <c r="I44" s="6">
        <v>83.91</v>
      </c>
      <c r="J44" s="6">
        <v>83.2</v>
      </c>
      <c r="K44" s="6">
        <v>83.04</v>
      </c>
      <c r="L44" s="6">
        <v>82.71</v>
      </c>
      <c r="M44" s="6">
        <v>81.81</v>
      </c>
      <c r="N44" s="6">
        <v>81.25</v>
      </c>
      <c r="O44" s="6">
        <v>81.25</v>
      </c>
      <c r="P44" s="6">
        <v>80.98</v>
      </c>
      <c r="Q44" s="6">
        <v>80.69</v>
      </c>
      <c r="R44" s="6">
        <v>79.84</v>
      </c>
      <c r="S44" s="6">
        <v>80.14</v>
      </c>
      <c r="T44" s="6">
        <v>81.39</v>
      </c>
      <c r="U44" s="6">
        <v>81.98</v>
      </c>
      <c r="V44" s="6">
        <v>81.31</v>
      </c>
      <c r="W44" s="6">
        <v>81.2</v>
      </c>
      <c r="X44" s="6">
        <v>79.709999999999994</v>
      </c>
      <c r="Y44" s="6">
        <v>81.23</v>
      </c>
      <c r="Z44" s="6">
        <v>81.34</v>
      </c>
      <c r="AA44" s="6">
        <v>81.84</v>
      </c>
      <c r="AB44" s="6">
        <v>81.33</v>
      </c>
      <c r="AC44" s="6">
        <v>80.5</v>
      </c>
      <c r="AD44" s="6">
        <v>80.63</v>
      </c>
      <c r="AE44" s="6">
        <v>79.78</v>
      </c>
      <c r="AF44" s="6">
        <v>78.86</v>
      </c>
      <c r="AG44" s="6">
        <v>78.63</v>
      </c>
      <c r="AH44" s="6">
        <v>77.62</v>
      </c>
      <c r="AI44" s="6">
        <v>77.78</v>
      </c>
      <c r="AJ44" s="6">
        <v>78.33</v>
      </c>
      <c r="AK44" s="6">
        <v>77.989999999999995</v>
      </c>
      <c r="AL44" s="6">
        <v>79.67</v>
      </c>
      <c r="AM44" s="6">
        <v>79.59</v>
      </c>
      <c r="AN44" s="6">
        <v>79.91</v>
      </c>
      <c r="AO44" s="6">
        <v>80.25</v>
      </c>
      <c r="AP44" s="6">
        <v>80.48</v>
      </c>
      <c r="AQ44" s="6">
        <v>80.31</v>
      </c>
      <c r="AR44" s="6">
        <v>80.23</v>
      </c>
      <c r="AS44" s="6">
        <v>81.209999999999994</v>
      </c>
      <c r="AT44" s="6">
        <v>81.42</v>
      </c>
      <c r="AU44" s="6">
        <v>81.239999999999995</v>
      </c>
      <c r="AV44" s="6">
        <v>80.81</v>
      </c>
      <c r="AW44" s="6">
        <v>81.680000000000007</v>
      </c>
      <c r="AX44" s="6">
        <v>81.67</v>
      </c>
      <c r="AY44" s="6">
        <v>81.91</v>
      </c>
      <c r="AZ44" s="6">
        <v>83.05</v>
      </c>
      <c r="BA44" s="6">
        <v>82.52</v>
      </c>
      <c r="BB44" s="6">
        <v>82.71</v>
      </c>
      <c r="BC44" s="6">
        <v>84.01</v>
      </c>
      <c r="BD44" s="6">
        <v>83.38</v>
      </c>
      <c r="BE44" s="6">
        <v>83.41</v>
      </c>
      <c r="BF44" s="6">
        <v>84.67</v>
      </c>
      <c r="BG44" s="6">
        <v>85.57</v>
      </c>
      <c r="BH44" s="6">
        <v>84.46</v>
      </c>
      <c r="BI44" s="6">
        <v>85.18</v>
      </c>
      <c r="BJ44" s="6">
        <v>86.99</v>
      </c>
      <c r="BK44" s="6">
        <v>86.51</v>
      </c>
      <c r="BL44" s="6">
        <v>85.41</v>
      </c>
      <c r="BM44" s="6">
        <v>82.67</v>
      </c>
      <c r="BN44">
        <v>83.57</v>
      </c>
      <c r="BO44">
        <v>86.49</v>
      </c>
      <c r="BP44">
        <v>86.03</v>
      </c>
      <c r="BQ44">
        <v>86.71</v>
      </c>
      <c r="BR44">
        <v>86.57</v>
      </c>
      <c r="BS44">
        <v>86.98</v>
      </c>
      <c r="BT44">
        <v>85.75</v>
      </c>
      <c r="BU44">
        <v>84.63</v>
      </c>
      <c r="BV44">
        <v>84.2</v>
      </c>
      <c r="BW44">
        <v>85.25</v>
      </c>
      <c r="BX44">
        <v>85.36</v>
      </c>
      <c r="BY44">
        <v>84.96</v>
      </c>
      <c r="BZ44">
        <v>84.99</v>
      </c>
      <c r="CA44" s="6">
        <v>84.804130999999998</v>
      </c>
      <c r="CB44" s="6">
        <v>82.293480000000002</v>
      </c>
      <c r="CC44" s="6">
        <v>79.942238000000003</v>
      </c>
      <c r="CD44" s="6">
        <v>80.051833999999999</v>
      </c>
      <c r="CE44" s="6">
        <v>79.185066000000006</v>
      </c>
      <c r="CF44" s="6">
        <v>79.135245999999995</v>
      </c>
      <c r="CG44" s="6">
        <v>82.622260999999995</v>
      </c>
      <c r="CH44" s="6">
        <v>81.097938999999997</v>
      </c>
      <c r="CI44" s="6">
        <v>84.405617000000007</v>
      </c>
      <c r="CJ44" s="6">
        <v>83.668364999999994</v>
      </c>
      <c r="CK44" s="6">
        <v>82.333336000000003</v>
      </c>
      <c r="CL44" s="6">
        <v>78.716804999999994</v>
      </c>
      <c r="CM44" s="6">
        <v>80.340751999999995</v>
      </c>
      <c r="CN44" s="6">
        <v>74.811347999999995</v>
      </c>
      <c r="CO44" s="6">
        <v>64.718941000000001</v>
      </c>
      <c r="CP44" s="6">
        <v>69.351685000000003</v>
      </c>
      <c r="CQ44" s="6">
        <v>63.124881999999999</v>
      </c>
      <c r="CR44" s="6">
        <v>62.875808999999997</v>
      </c>
      <c r="CS44" s="6">
        <v>58.223137000000001</v>
      </c>
      <c r="CT44" s="6">
        <v>65.695305000000005</v>
      </c>
      <c r="CU44" s="6">
        <v>55.373753000000001</v>
      </c>
      <c r="CV44" s="6">
        <v>48.947685</v>
      </c>
      <c r="CW44" s="6">
        <v>53.610320999999999</v>
      </c>
      <c r="CX44" s="6">
        <v>55.015087000000001</v>
      </c>
      <c r="CY44" s="6">
        <v>59.607979</v>
      </c>
      <c r="CZ44" s="6">
        <v>59.338982000000001</v>
      </c>
      <c r="DA44" s="6">
        <v>61.630446999999997</v>
      </c>
      <c r="DB44" s="6">
        <v>61.75</v>
      </c>
    </row>
    <row r="45" spans="1:106">
      <c r="A45" s="3" t="s">
        <v>42</v>
      </c>
      <c r="B45">
        <v>47</v>
      </c>
      <c r="C45" s="6">
        <v>376.68</v>
      </c>
      <c r="D45" s="6">
        <v>379.17</v>
      </c>
      <c r="E45" s="6">
        <v>374.48</v>
      </c>
      <c r="F45" s="6">
        <v>373.63</v>
      </c>
      <c r="G45" s="6">
        <v>379.79</v>
      </c>
      <c r="H45" s="6">
        <v>378.75</v>
      </c>
      <c r="I45" s="6">
        <v>381.86</v>
      </c>
      <c r="J45" s="6">
        <v>381.38</v>
      </c>
      <c r="K45" s="6">
        <v>386.3</v>
      </c>
      <c r="L45" s="6">
        <v>387.69</v>
      </c>
      <c r="M45" s="6">
        <v>390.16</v>
      </c>
      <c r="N45" s="6">
        <v>393.55</v>
      </c>
      <c r="O45" s="6">
        <v>392.76</v>
      </c>
      <c r="P45" s="6">
        <v>390.81</v>
      </c>
      <c r="Q45" s="6">
        <v>392.7</v>
      </c>
      <c r="R45" s="6">
        <v>390.26</v>
      </c>
      <c r="S45" s="6">
        <v>390.74</v>
      </c>
      <c r="T45" s="6">
        <v>389.98</v>
      </c>
      <c r="U45" s="6">
        <v>392.5</v>
      </c>
      <c r="V45" s="6">
        <v>394.24</v>
      </c>
      <c r="W45" s="6">
        <v>391.03</v>
      </c>
      <c r="X45" s="6">
        <v>383.62</v>
      </c>
      <c r="Y45" s="6">
        <v>381.62</v>
      </c>
      <c r="Z45" s="6">
        <v>384.58</v>
      </c>
      <c r="AA45" s="6">
        <v>385.94</v>
      </c>
      <c r="AB45" s="6">
        <v>386.86</v>
      </c>
      <c r="AC45" s="6">
        <v>383.34</v>
      </c>
      <c r="AD45" s="6">
        <v>384.44</v>
      </c>
      <c r="AE45" s="6">
        <v>386.24</v>
      </c>
      <c r="AF45" s="6">
        <v>384.05</v>
      </c>
      <c r="AG45" s="6">
        <v>386.47</v>
      </c>
      <c r="AH45" s="6">
        <v>385.95</v>
      </c>
      <c r="AI45" s="6">
        <v>386.89</v>
      </c>
      <c r="AJ45" s="6">
        <v>380.57</v>
      </c>
      <c r="AK45" s="6">
        <v>383.15</v>
      </c>
      <c r="AL45" s="6">
        <v>386.47</v>
      </c>
      <c r="AM45" s="6">
        <v>391.9</v>
      </c>
      <c r="AN45" s="6">
        <v>390.17</v>
      </c>
      <c r="AO45" s="6">
        <v>392.3</v>
      </c>
      <c r="AP45" s="6">
        <v>393.6</v>
      </c>
      <c r="AQ45" s="6">
        <v>391.9</v>
      </c>
      <c r="AR45" s="6">
        <v>389.38</v>
      </c>
      <c r="AS45" s="6">
        <v>399.37</v>
      </c>
      <c r="AT45" s="6">
        <v>413.74</v>
      </c>
      <c r="AU45" s="6">
        <v>413.11</v>
      </c>
      <c r="AV45" s="6">
        <v>414.5</v>
      </c>
      <c r="AW45" s="6">
        <v>411.03</v>
      </c>
      <c r="AX45" s="6">
        <v>414.93</v>
      </c>
      <c r="AY45" s="6">
        <v>413.83</v>
      </c>
      <c r="AZ45" s="6">
        <v>419.02</v>
      </c>
      <c r="BA45" s="6">
        <v>416.14</v>
      </c>
      <c r="BB45" s="6">
        <v>420.95</v>
      </c>
      <c r="BC45" s="6">
        <v>425.7</v>
      </c>
      <c r="BD45" s="6">
        <v>425.66</v>
      </c>
      <c r="BE45" s="6">
        <v>426.15</v>
      </c>
      <c r="BF45" s="6">
        <v>424.42</v>
      </c>
      <c r="BG45" s="6">
        <v>428.78</v>
      </c>
      <c r="BH45" s="6">
        <v>432.5</v>
      </c>
      <c r="BI45" s="6">
        <v>432.38</v>
      </c>
      <c r="BJ45" s="6">
        <v>437.17</v>
      </c>
      <c r="BK45" s="6">
        <v>433.84</v>
      </c>
      <c r="BL45" s="6">
        <v>435.9</v>
      </c>
      <c r="BM45" s="6">
        <v>428.12</v>
      </c>
      <c r="BN45">
        <v>423.86</v>
      </c>
      <c r="BO45">
        <v>430.78</v>
      </c>
      <c r="BP45">
        <v>435.19</v>
      </c>
      <c r="BQ45">
        <v>438.97</v>
      </c>
      <c r="BR45">
        <v>439.17</v>
      </c>
      <c r="BS45">
        <v>439.76</v>
      </c>
      <c r="BT45">
        <v>439.85</v>
      </c>
      <c r="BU45">
        <v>436.6</v>
      </c>
      <c r="BV45">
        <v>434.7</v>
      </c>
      <c r="BW45">
        <v>437.85</v>
      </c>
      <c r="BX45">
        <v>435.55</v>
      </c>
      <c r="BY45">
        <v>434.48</v>
      </c>
      <c r="BZ45">
        <v>425.97</v>
      </c>
      <c r="CA45" s="6">
        <v>425.130402</v>
      </c>
      <c r="CB45" s="6">
        <v>416.73315400000001</v>
      </c>
      <c r="CC45" s="6">
        <v>397.86163299999998</v>
      </c>
      <c r="CD45" s="6">
        <v>398.39828499999999</v>
      </c>
      <c r="CE45" s="6">
        <v>382.20001200000002</v>
      </c>
      <c r="CF45" s="6">
        <v>369.86999500000002</v>
      </c>
      <c r="CG45" s="6">
        <v>381.35000600000001</v>
      </c>
      <c r="CH45" s="6">
        <v>377.39999399999999</v>
      </c>
      <c r="CI45" s="6">
        <v>402.02999899999998</v>
      </c>
      <c r="CJ45" s="6">
        <v>384.70001200000002</v>
      </c>
      <c r="CK45" s="6">
        <v>382.47000100000002</v>
      </c>
      <c r="CL45" s="6">
        <v>352.02999899999998</v>
      </c>
      <c r="CM45" s="6">
        <v>367.17001299999998</v>
      </c>
      <c r="CN45" s="6">
        <v>356.92999300000002</v>
      </c>
      <c r="CO45" s="6">
        <v>311.38000499999998</v>
      </c>
      <c r="CP45" s="6">
        <v>328.58999599999999</v>
      </c>
      <c r="CQ45" s="6">
        <v>287.94000199999999</v>
      </c>
      <c r="CR45" s="6">
        <v>318.82998700000002</v>
      </c>
      <c r="CS45" s="6">
        <v>333.41000400000001</v>
      </c>
      <c r="CT45" s="6">
        <v>314.20001200000002</v>
      </c>
      <c r="CU45" s="6">
        <v>291.22000100000002</v>
      </c>
      <c r="CV45" s="6">
        <v>276.79998799999998</v>
      </c>
      <c r="CW45" s="6">
        <v>288.91000400000001</v>
      </c>
      <c r="CX45" s="6">
        <v>319.67001299999998</v>
      </c>
      <c r="CY45" s="6">
        <v>350.32998700000002</v>
      </c>
      <c r="CZ45" s="6">
        <v>348.38000499999998</v>
      </c>
      <c r="DA45" s="6">
        <v>348.85000600000001</v>
      </c>
      <c r="DB45" s="6">
        <v>338.95001200000002</v>
      </c>
    </row>
    <row r="46" spans="1:106">
      <c r="A46" s="3" t="s">
        <v>43</v>
      </c>
      <c r="B46">
        <v>595</v>
      </c>
      <c r="C46" s="6">
        <v>20.16</v>
      </c>
      <c r="D46" s="6">
        <v>20.440000000000001</v>
      </c>
      <c r="E46" s="6">
        <v>20.79</v>
      </c>
      <c r="F46" s="6">
        <v>20.89</v>
      </c>
      <c r="G46" s="6">
        <v>20.09</v>
      </c>
      <c r="H46" s="6">
        <v>19.91</v>
      </c>
      <c r="I46" s="6">
        <v>20.350000000000001</v>
      </c>
      <c r="J46" s="6">
        <v>20.6</v>
      </c>
      <c r="K46" s="6">
        <v>20.45</v>
      </c>
      <c r="L46" s="6">
        <v>20.56</v>
      </c>
      <c r="M46" s="6">
        <v>20.54</v>
      </c>
      <c r="N46" s="6">
        <v>20.7</v>
      </c>
      <c r="O46" s="6">
        <v>20.46</v>
      </c>
      <c r="P46" s="6">
        <v>20.329999999999998</v>
      </c>
      <c r="Q46" s="6">
        <v>20.05</v>
      </c>
      <c r="R46" s="6">
        <v>19.63</v>
      </c>
      <c r="S46" s="6">
        <v>19.7</v>
      </c>
      <c r="T46" s="6">
        <v>20.12</v>
      </c>
      <c r="U46" s="6">
        <v>19.739999999999998</v>
      </c>
      <c r="V46" s="6">
        <v>19.829999999999998</v>
      </c>
      <c r="W46" s="6">
        <v>19.55</v>
      </c>
      <c r="X46" s="6">
        <v>19.47</v>
      </c>
      <c r="Y46" s="6">
        <v>19.5</v>
      </c>
      <c r="Z46" s="6">
        <v>19.47</v>
      </c>
      <c r="AA46" s="6">
        <v>19.72</v>
      </c>
      <c r="AB46" s="6">
        <v>20.16</v>
      </c>
      <c r="AC46" s="6">
        <v>19.989999999999998</v>
      </c>
      <c r="AD46" s="6">
        <v>19.739999999999998</v>
      </c>
      <c r="AE46" s="6">
        <v>19.63</v>
      </c>
      <c r="AF46" s="6">
        <v>20</v>
      </c>
      <c r="AG46" s="6">
        <v>19.95</v>
      </c>
      <c r="AH46" s="6">
        <v>19.98</v>
      </c>
      <c r="AI46" s="6">
        <v>19.739999999999998</v>
      </c>
      <c r="AJ46" s="6">
        <v>19.88</v>
      </c>
      <c r="AK46" s="6">
        <v>20.09</v>
      </c>
      <c r="AL46" s="6">
        <v>20.79</v>
      </c>
      <c r="AM46" s="6">
        <v>20.170000000000002</v>
      </c>
      <c r="AN46" s="6">
        <v>20.11</v>
      </c>
      <c r="AO46" s="6">
        <v>20.28</v>
      </c>
      <c r="AP46" s="6">
        <v>20.190000000000001</v>
      </c>
      <c r="AQ46" s="6">
        <v>20.100000000000001</v>
      </c>
      <c r="AR46" s="6">
        <v>20.3</v>
      </c>
      <c r="AS46" s="6">
        <v>20.12</v>
      </c>
      <c r="AT46" s="6">
        <v>20.079999999999998</v>
      </c>
      <c r="AU46" s="6">
        <v>20.49</v>
      </c>
      <c r="AV46" s="6">
        <v>20.36</v>
      </c>
      <c r="AW46" s="6">
        <v>20.34</v>
      </c>
      <c r="AX46" s="6">
        <v>20.09</v>
      </c>
      <c r="AY46" s="6">
        <v>19.98</v>
      </c>
      <c r="AZ46" s="6">
        <v>19.86</v>
      </c>
      <c r="BA46" s="6">
        <v>20.420000000000002</v>
      </c>
      <c r="BB46" s="6">
        <v>21.51</v>
      </c>
      <c r="BC46" s="6">
        <v>21.77</v>
      </c>
      <c r="BD46" s="6">
        <v>21.51</v>
      </c>
      <c r="BE46" s="6">
        <v>21.22</v>
      </c>
      <c r="BF46" s="6">
        <v>21.22</v>
      </c>
      <c r="BG46" s="6">
        <v>21.37</v>
      </c>
      <c r="BH46" s="6">
        <v>21.16</v>
      </c>
      <c r="BI46" s="6">
        <v>20.65</v>
      </c>
      <c r="BJ46" s="6">
        <v>20.84</v>
      </c>
      <c r="BK46" s="6">
        <v>20.54</v>
      </c>
      <c r="BL46" s="6">
        <v>20.81</v>
      </c>
      <c r="BM46" s="6">
        <v>20.399999999999999</v>
      </c>
      <c r="BN46">
        <v>20.61</v>
      </c>
      <c r="BO46">
        <v>20.8</v>
      </c>
      <c r="BP46">
        <v>21.17</v>
      </c>
      <c r="BQ46">
        <v>21.2</v>
      </c>
      <c r="BR46">
        <v>21.29</v>
      </c>
      <c r="BS46">
        <v>21.2</v>
      </c>
      <c r="BT46">
        <v>21.43</v>
      </c>
      <c r="BU46">
        <v>21.8</v>
      </c>
      <c r="BV46">
        <v>21.6</v>
      </c>
      <c r="BW46">
        <v>21.39</v>
      </c>
      <c r="BX46">
        <v>21.72</v>
      </c>
      <c r="BY46">
        <v>21.83</v>
      </c>
      <c r="BZ46">
        <v>22.25</v>
      </c>
      <c r="CA46" s="6">
        <v>21.775427000000001</v>
      </c>
      <c r="CB46" s="6">
        <v>21.307030000000001</v>
      </c>
      <c r="CC46" s="6">
        <v>20.350307000000001</v>
      </c>
      <c r="CD46" s="6">
        <v>20.220752999999998</v>
      </c>
      <c r="CE46" s="6">
        <v>18.516586</v>
      </c>
      <c r="CF46" s="6">
        <v>18.147848</v>
      </c>
      <c r="CG46" s="6">
        <v>18.058159</v>
      </c>
      <c r="CH46" s="6">
        <v>17.52</v>
      </c>
      <c r="CI46" s="6">
        <v>17.790001</v>
      </c>
      <c r="CJ46" s="6">
        <v>16.649999999999999</v>
      </c>
      <c r="CK46" s="6">
        <v>16.360001</v>
      </c>
      <c r="CL46" s="6">
        <v>14.28</v>
      </c>
      <c r="CM46" s="6">
        <v>16.049999</v>
      </c>
      <c r="CN46" s="6">
        <v>15.42</v>
      </c>
      <c r="CO46" s="6">
        <v>13.64</v>
      </c>
      <c r="CP46" s="6">
        <v>15.05</v>
      </c>
      <c r="CQ46" s="6">
        <v>14.66</v>
      </c>
      <c r="CR46" s="6">
        <v>16.219999000000001</v>
      </c>
      <c r="CS46" s="6">
        <v>16.079999999999998</v>
      </c>
      <c r="CT46" s="6">
        <v>15.14</v>
      </c>
      <c r="CU46" s="6">
        <v>13.62</v>
      </c>
      <c r="CV46" s="6">
        <v>11.94</v>
      </c>
      <c r="CW46" s="6">
        <v>13.28</v>
      </c>
      <c r="CX46" s="6">
        <v>13.62</v>
      </c>
      <c r="CY46" s="6">
        <v>13.81</v>
      </c>
      <c r="CZ46" s="6">
        <v>13</v>
      </c>
      <c r="DA46" s="6">
        <v>13.09</v>
      </c>
      <c r="DB46" s="6">
        <v>12.54</v>
      </c>
    </row>
    <row r="47" spans="1:106">
      <c r="A47" s="2" t="s">
        <v>44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</row>
    <row r="48" spans="1:106">
      <c r="A48" s="3" t="s">
        <v>45</v>
      </c>
      <c r="B48">
        <v>1037</v>
      </c>
      <c r="C48" s="6">
        <v>17.36</v>
      </c>
      <c r="D48" s="6">
        <v>17.010000000000002</v>
      </c>
      <c r="E48" s="6">
        <v>16.64</v>
      </c>
      <c r="F48" s="6">
        <v>16.54</v>
      </c>
      <c r="G48" s="6">
        <v>16.899999999999999</v>
      </c>
      <c r="H48" s="6">
        <v>16.36</v>
      </c>
      <c r="I48" s="6">
        <v>16.37</v>
      </c>
      <c r="J48" s="6">
        <v>16.38</v>
      </c>
      <c r="K48" s="6">
        <v>16.440000000000001</v>
      </c>
      <c r="L48" s="6">
        <v>16.66</v>
      </c>
      <c r="M48" s="6">
        <v>16.66</v>
      </c>
      <c r="N48" s="6">
        <v>16.57</v>
      </c>
      <c r="O48" s="6">
        <v>16.89</v>
      </c>
      <c r="P48" s="6">
        <v>17.05</v>
      </c>
      <c r="Q48" s="6">
        <v>16.989999999999998</v>
      </c>
      <c r="R48" s="6">
        <v>16.64</v>
      </c>
      <c r="S48" s="6">
        <v>16.489999999999998</v>
      </c>
      <c r="T48" s="6">
        <v>16.43</v>
      </c>
      <c r="U48" s="6">
        <v>16.86</v>
      </c>
      <c r="V48" s="6">
        <v>16.7</v>
      </c>
      <c r="W48" s="6">
        <v>16.8</v>
      </c>
      <c r="X48" s="6">
        <v>16.89</v>
      </c>
      <c r="Y48" s="6">
        <v>17.28</v>
      </c>
      <c r="Z48" s="6">
        <v>17.03</v>
      </c>
      <c r="AA48" s="6">
        <v>17.16</v>
      </c>
      <c r="AB48" s="6">
        <v>16.89</v>
      </c>
      <c r="AC48" s="6">
        <v>16.850000000000001</v>
      </c>
      <c r="AD48" s="6">
        <v>17.14</v>
      </c>
      <c r="AE48" s="6">
        <v>17.62</v>
      </c>
      <c r="AF48" s="6">
        <v>17.559999999999999</v>
      </c>
      <c r="AG48" s="6">
        <v>17.579999999999998</v>
      </c>
      <c r="AH48" s="6">
        <v>17.420000000000002</v>
      </c>
      <c r="AI48" s="6">
        <v>17.39</v>
      </c>
      <c r="AJ48" s="6">
        <v>17.93</v>
      </c>
      <c r="AK48" s="6">
        <v>17.71</v>
      </c>
      <c r="AL48" s="6">
        <v>17.45</v>
      </c>
      <c r="AM48" s="6">
        <v>17.760000000000002</v>
      </c>
      <c r="AN48" s="6">
        <v>18.309999999999999</v>
      </c>
      <c r="AO48" s="6">
        <v>18.36</v>
      </c>
      <c r="AP48" s="6">
        <v>18.37</v>
      </c>
      <c r="AQ48" s="6">
        <v>18.61</v>
      </c>
      <c r="AR48" s="6">
        <v>18.59</v>
      </c>
      <c r="AS48" s="6">
        <v>18.489999999999998</v>
      </c>
      <c r="AT48" s="6">
        <v>18.57</v>
      </c>
      <c r="AU48" s="6">
        <v>18.39</v>
      </c>
      <c r="AV48" s="6">
        <v>18.47</v>
      </c>
      <c r="AW48" s="6">
        <v>17.82</v>
      </c>
      <c r="AX48" s="6">
        <v>17.600000000000001</v>
      </c>
      <c r="AY48" s="6">
        <v>17.850000000000001</v>
      </c>
      <c r="AZ48" s="6">
        <v>17.45</v>
      </c>
      <c r="BA48" s="6">
        <v>17.559999999999999</v>
      </c>
      <c r="BB48" s="6">
        <v>17.899999999999999</v>
      </c>
      <c r="BC48" s="6">
        <v>18.09</v>
      </c>
      <c r="BD48" s="6">
        <v>17.95</v>
      </c>
      <c r="BE48" s="6">
        <v>18.350000000000001</v>
      </c>
      <c r="BF48" s="6">
        <v>18.29</v>
      </c>
      <c r="BG48" s="6">
        <v>18.43</v>
      </c>
      <c r="BH48" s="6">
        <v>18.71</v>
      </c>
      <c r="BI48" s="6">
        <v>18.62</v>
      </c>
      <c r="BJ48" s="6">
        <v>18</v>
      </c>
      <c r="BK48" s="6">
        <v>18.37</v>
      </c>
      <c r="BL48" s="6">
        <v>18.440000000000001</v>
      </c>
      <c r="BM48" s="6">
        <v>18.52</v>
      </c>
      <c r="BN48">
        <v>18.28</v>
      </c>
      <c r="BO48">
        <v>18.02</v>
      </c>
      <c r="BP48">
        <v>18.02</v>
      </c>
      <c r="BQ48">
        <v>18.350000000000001</v>
      </c>
      <c r="BR48">
        <v>18.190000000000001</v>
      </c>
      <c r="BS48">
        <v>18.43</v>
      </c>
      <c r="BT48">
        <v>18.440000000000001</v>
      </c>
      <c r="BU48">
        <v>18.41</v>
      </c>
      <c r="BV48">
        <v>18.93</v>
      </c>
      <c r="BW48">
        <v>19.72</v>
      </c>
      <c r="BX48">
        <v>20.58</v>
      </c>
      <c r="BY48">
        <v>21</v>
      </c>
      <c r="BZ48">
        <v>20.77</v>
      </c>
      <c r="CA48" s="6">
        <v>21.368839000000001</v>
      </c>
      <c r="CB48" s="6">
        <v>21.956880999999999</v>
      </c>
      <c r="CC48" s="6">
        <v>21.179469999999998</v>
      </c>
      <c r="CD48" s="6">
        <v>21.02</v>
      </c>
      <c r="CE48" s="6">
        <v>19.780000999999999</v>
      </c>
      <c r="CF48" s="6">
        <v>19.040001</v>
      </c>
      <c r="CG48" s="6">
        <v>19.860001</v>
      </c>
      <c r="CH48" s="6">
        <v>20.620000999999998</v>
      </c>
      <c r="CI48" s="6">
        <v>20.549999</v>
      </c>
      <c r="CJ48" s="6">
        <v>21.16</v>
      </c>
      <c r="CK48" s="6">
        <v>21.23</v>
      </c>
      <c r="CL48" s="6">
        <v>19.93</v>
      </c>
      <c r="CM48" s="6">
        <v>19.870000999999998</v>
      </c>
      <c r="CN48" s="6">
        <v>18.790001</v>
      </c>
      <c r="CO48" s="6">
        <v>16.879999000000002</v>
      </c>
      <c r="CP48" s="6">
        <v>15.67</v>
      </c>
      <c r="CQ48" s="6">
        <v>16.329999999999998</v>
      </c>
      <c r="CR48" s="6">
        <v>17.709999</v>
      </c>
      <c r="CS48" s="6">
        <v>15.88</v>
      </c>
      <c r="CT48" s="6">
        <v>16.079999999999998</v>
      </c>
      <c r="CU48" s="6">
        <v>15.88</v>
      </c>
      <c r="CV48" s="6">
        <v>16.93</v>
      </c>
      <c r="CW48" s="6">
        <v>19.5</v>
      </c>
      <c r="CX48" s="6">
        <v>19.110001</v>
      </c>
      <c r="CY48" s="6">
        <v>19.579999999999998</v>
      </c>
      <c r="CZ48" s="6">
        <v>19.239999999999998</v>
      </c>
      <c r="DA48" s="6">
        <v>19.290001</v>
      </c>
      <c r="DB48" s="6">
        <v>18.32</v>
      </c>
    </row>
    <row r="49" spans="1:106">
      <c r="A49" s="3" t="s">
        <v>46</v>
      </c>
      <c r="B49">
        <v>131</v>
      </c>
      <c r="C49" s="6">
        <v>91.36</v>
      </c>
      <c r="D49" s="6">
        <v>91.95</v>
      </c>
      <c r="E49" s="6">
        <v>91.83</v>
      </c>
      <c r="F49" s="6">
        <v>92.19</v>
      </c>
      <c r="G49" s="6">
        <v>100.31</v>
      </c>
      <c r="H49" s="6">
        <v>100</v>
      </c>
      <c r="I49" s="6">
        <v>99.9</v>
      </c>
      <c r="J49" s="6">
        <v>99.83</v>
      </c>
      <c r="K49" s="6">
        <v>99.83</v>
      </c>
      <c r="L49" s="6">
        <v>98.09</v>
      </c>
      <c r="M49" s="6">
        <v>96.56</v>
      </c>
      <c r="N49" s="6">
        <v>95.72</v>
      </c>
      <c r="O49" s="6">
        <v>96.4</v>
      </c>
      <c r="P49" s="6">
        <v>97.34</v>
      </c>
      <c r="Q49" s="6">
        <v>95.34</v>
      </c>
      <c r="R49" s="6">
        <v>95.44</v>
      </c>
      <c r="S49" s="6">
        <v>95.02</v>
      </c>
      <c r="T49" s="6">
        <v>97.23</v>
      </c>
      <c r="U49" s="6">
        <v>98.54</v>
      </c>
      <c r="V49" s="6">
        <v>99</v>
      </c>
      <c r="W49" s="6">
        <v>98.4</v>
      </c>
      <c r="X49" s="6">
        <v>98.43</v>
      </c>
      <c r="Y49" s="6">
        <v>97.53</v>
      </c>
      <c r="Z49" s="6">
        <v>98.52</v>
      </c>
      <c r="AA49" s="6">
        <v>100.01</v>
      </c>
      <c r="AB49" s="6">
        <v>99.26</v>
      </c>
      <c r="AC49" s="6">
        <v>99.86</v>
      </c>
      <c r="AD49" s="6">
        <v>99.02</v>
      </c>
      <c r="AE49" s="6">
        <v>98.78</v>
      </c>
      <c r="AF49" s="6">
        <v>100.64</v>
      </c>
      <c r="AG49" s="6">
        <v>99.82</v>
      </c>
      <c r="AH49" s="6">
        <v>100.46</v>
      </c>
      <c r="AI49" s="6">
        <v>100.39</v>
      </c>
      <c r="AJ49" s="6">
        <v>100.95</v>
      </c>
      <c r="AK49" s="6">
        <v>101.23</v>
      </c>
      <c r="AL49" s="6">
        <v>102.4</v>
      </c>
      <c r="AM49" s="6">
        <v>103.09</v>
      </c>
      <c r="AN49" s="6">
        <v>103.57</v>
      </c>
      <c r="AO49" s="6">
        <v>103.91</v>
      </c>
      <c r="AP49" s="6">
        <v>103.45</v>
      </c>
      <c r="AQ49" s="6">
        <v>103.29</v>
      </c>
      <c r="AR49" s="6">
        <v>103.44</v>
      </c>
      <c r="AS49" s="6">
        <v>103.64</v>
      </c>
      <c r="AT49" s="6">
        <v>102.94</v>
      </c>
      <c r="AU49" s="6">
        <v>102.42</v>
      </c>
      <c r="AV49" s="6">
        <v>101.78</v>
      </c>
      <c r="AW49" s="6">
        <v>102.26</v>
      </c>
      <c r="AX49" s="6">
        <v>102.04</v>
      </c>
      <c r="AY49" s="6">
        <v>101.83</v>
      </c>
      <c r="AZ49" s="6">
        <v>102.96</v>
      </c>
      <c r="BA49" s="6">
        <v>104.08</v>
      </c>
      <c r="BB49" s="6">
        <v>104.83</v>
      </c>
      <c r="BC49" s="6">
        <v>104.97</v>
      </c>
      <c r="BD49" s="6">
        <v>106.08</v>
      </c>
      <c r="BE49" s="6">
        <v>106.16</v>
      </c>
      <c r="BF49" s="6">
        <v>106.79</v>
      </c>
      <c r="BG49" s="6">
        <v>107.16</v>
      </c>
      <c r="BH49" s="6">
        <v>106.45</v>
      </c>
      <c r="BI49" s="6">
        <v>105.19</v>
      </c>
      <c r="BJ49" s="6">
        <v>106.03</v>
      </c>
      <c r="BK49" s="6">
        <v>104.04</v>
      </c>
      <c r="BL49" s="6">
        <v>104.55</v>
      </c>
      <c r="BM49" s="6">
        <v>100.73</v>
      </c>
      <c r="BN49">
        <v>102.2</v>
      </c>
      <c r="BO49">
        <v>105</v>
      </c>
      <c r="BP49">
        <v>106.43</v>
      </c>
      <c r="BQ49">
        <v>103.83</v>
      </c>
      <c r="BR49">
        <v>102.63</v>
      </c>
      <c r="BS49">
        <v>103.38</v>
      </c>
      <c r="BT49">
        <v>103.98</v>
      </c>
      <c r="BU49">
        <v>104.68</v>
      </c>
      <c r="BV49">
        <v>104.74</v>
      </c>
      <c r="BW49">
        <v>104.44</v>
      </c>
      <c r="BX49">
        <v>103.55</v>
      </c>
      <c r="BY49">
        <v>104.25</v>
      </c>
      <c r="BZ49">
        <v>102.51</v>
      </c>
      <c r="CA49" s="6">
        <v>95.699996999999996</v>
      </c>
      <c r="CB49" s="6">
        <v>90.959998999999996</v>
      </c>
      <c r="CC49" s="6">
        <v>87.779999000000004</v>
      </c>
      <c r="CD49" s="6">
        <v>87.860000999999997</v>
      </c>
      <c r="CE49" s="6">
        <v>84.209998999999996</v>
      </c>
      <c r="CF49" s="6">
        <v>86.540001000000004</v>
      </c>
      <c r="CG49" s="6">
        <v>89</v>
      </c>
      <c r="CH49" s="6">
        <v>87.629997000000003</v>
      </c>
      <c r="CI49" s="6">
        <v>89.110000999999997</v>
      </c>
      <c r="CJ49" s="6">
        <v>83.089995999999999</v>
      </c>
      <c r="CK49" s="6">
        <v>84.019997000000004</v>
      </c>
      <c r="CL49" s="6">
        <v>69.639999000000003</v>
      </c>
      <c r="CM49" s="6">
        <v>77.239998</v>
      </c>
      <c r="CN49" s="6">
        <v>72.470000999999996</v>
      </c>
      <c r="CO49" s="6">
        <v>65.449996999999996</v>
      </c>
      <c r="CP49" s="6">
        <v>69.940002000000007</v>
      </c>
      <c r="CQ49" s="6">
        <v>62.029998999999997</v>
      </c>
      <c r="CR49" s="6">
        <v>73.730002999999996</v>
      </c>
      <c r="CS49" s="6">
        <v>64.010002</v>
      </c>
      <c r="CT49" s="6">
        <v>65.099997999999999</v>
      </c>
      <c r="CU49" s="6">
        <v>61.369999</v>
      </c>
      <c r="CV49" s="6">
        <v>64.050003000000004</v>
      </c>
      <c r="CW49" s="6">
        <v>68.809997999999993</v>
      </c>
      <c r="CX49" s="6">
        <v>66.879997000000003</v>
      </c>
      <c r="CY49" s="6">
        <v>73.349997999999999</v>
      </c>
      <c r="CZ49" s="6">
        <v>66.559997999999993</v>
      </c>
      <c r="DA49" s="6">
        <v>68.889999000000003</v>
      </c>
      <c r="DB49" s="6">
        <v>69.489998</v>
      </c>
    </row>
    <row r="50" spans="1:106">
      <c r="A50" s="3" t="s">
        <v>47</v>
      </c>
      <c r="B50">
        <v>69</v>
      </c>
      <c r="C50" s="6">
        <v>261.91000000000003</v>
      </c>
      <c r="D50" s="6">
        <v>263.35000000000002</v>
      </c>
      <c r="E50" s="6">
        <v>260.86</v>
      </c>
      <c r="F50" s="6">
        <v>253.3</v>
      </c>
      <c r="G50" s="6">
        <v>256.60000000000002</v>
      </c>
      <c r="H50" s="6">
        <v>257.55</v>
      </c>
      <c r="I50" s="6">
        <v>256.89999999999998</v>
      </c>
      <c r="J50" s="6">
        <v>256.02</v>
      </c>
      <c r="K50" s="6">
        <v>255.24</v>
      </c>
      <c r="L50" s="6">
        <v>257.39</v>
      </c>
      <c r="M50" s="6">
        <v>261.44</v>
      </c>
      <c r="N50" s="6">
        <v>260.43</v>
      </c>
      <c r="O50" s="6">
        <v>260.7</v>
      </c>
      <c r="P50" s="6">
        <v>261.66000000000003</v>
      </c>
      <c r="Q50" s="6">
        <v>263.08</v>
      </c>
      <c r="R50" s="6">
        <v>260.48</v>
      </c>
      <c r="S50" s="6">
        <v>259.33</v>
      </c>
      <c r="T50" s="6">
        <v>261.75</v>
      </c>
      <c r="U50" s="6">
        <v>269.06</v>
      </c>
      <c r="V50" s="6">
        <v>271.89</v>
      </c>
      <c r="W50" s="6">
        <v>268.39999999999998</v>
      </c>
      <c r="X50" s="6">
        <v>268.01</v>
      </c>
      <c r="Y50" s="6">
        <v>270.64999999999998</v>
      </c>
      <c r="Z50" s="6">
        <v>269.52999999999997</v>
      </c>
      <c r="AA50" s="6">
        <v>272.69</v>
      </c>
      <c r="AB50" s="6">
        <v>273.32</v>
      </c>
      <c r="AC50" s="6">
        <v>270.83999999999997</v>
      </c>
      <c r="AD50" s="6">
        <v>268.83999999999997</v>
      </c>
      <c r="AE50" s="6">
        <v>272.23</v>
      </c>
      <c r="AF50" s="6">
        <v>275.02999999999997</v>
      </c>
      <c r="AG50" s="6">
        <v>276.3</v>
      </c>
      <c r="AH50" s="6">
        <v>274.58999999999997</v>
      </c>
      <c r="AI50" s="6">
        <v>274.22000000000003</v>
      </c>
      <c r="AJ50" s="6">
        <v>274.54000000000002</v>
      </c>
      <c r="AK50" s="6">
        <v>272.95999999999998</v>
      </c>
      <c r="AL50" s="6">
        <v>273.24</v>
      </c>
      <c r="AM50" s="6">
        <v>271.10000000000002</v>
      </c>
      <c r="AN50" s="6">
        <v>274.54000000000002</v>
      </c>
      <c r="AO50" s="6">
        <v>278.69</v>
      </c>
      <c r="AP50" s="6">
        <v>278.70999999999998</v>
      </c>
      <c r="AQ50" s="6">
        <v>277.95</v>
      </c>
      <c r="AR50" s="6">
        <v>279.64</v>
      </c>
      <c r="AS50" s="6">
        <v>276.61</v>
      </c>
      <c r="AT50" s="6">
        <v>275.79000000000002</v>
      </c>
      <c r="AU50" s="6">
        <v>276.64</v>
      </c>
      <c r="AV50" s="6">
        <v>276.02</v>
      </c>
      <c r="AW50" s="6">
        <v>276.95999999999998</v>
      </c>
      <c r="AX50" s="6">
        <v>277.61</v>
      </c>
      <c r="AY50" s="6">
        <v>276.87</v>
      </c>
      <c r="AZ50" s="6">
        <v>272.14999999999998</v>
      </c>
      <c r="BA50" s="6">
        <v>260.75</v>
      </c>
      <c r="BB50" s="6">
        <v>262.19</v>
      </c>
      <c r="BC50" s="6">
        <v>263.01</v>
      </c>
      <c r="BD50" s="6">
        <v>266.74</v>
      </c>
      <c r="BE50" s="6">
        <v>267.76</v>
      </c>
      <c r="BF50" s="6">
        <v>265.23</v>
      </c>
      <c r="BG50" s="6">
        <v>267.87</v>
      </c>
      <c r="BH50" s="6">
        <v>263.89</v>
      </c>
      <c r="BI50" s="6">
        <v>259.54000000000002</v>
      </c>
      <c r="BJ50" s="6">
        <v>265.55</v>
      </c>
      <c r="BK50" s="6">
        <v>260.64999999999998</v>
      </c>
      <c r="BL50" s="6">
        <v>266.7</v>
      </c>
      <c r="BM50" s="6">
        <v>263.8</v>
      </c>
      <c r="BN50">
        <v>272.37</v>
      </c>
      <c r="BO50">
        <v>272.43</v>
      </c>
      <c r="BP50">
        <v>277.2</v>
      </c>
      <c r="BQ50">
        <v>274.18</v>
      </c>
      <c r="BR50">
        <v>274.10000000000002</v>
      </c>
      <c r="BS50">
        <v>276.79000000000002</v>
      </c>
      <c r="BT50">
        <v>262.76</v>
      </c>
      <c r="BU50">
        <v>260</v>
      </c>
      <c r="BV50">
        <v>262.68</v>
      </c>
      <c r="BW50">
        <v>263.48</v>
      </c>
      <c r="BX50">
        <v>257.2</v>
      </c>
      <c r="BY50">
        <v>258.67</v>
      </c>
      <c r="BZ50">
        <v>258.08</v>
      </c>
      <c r="CA50" s="6">
        <v>250.821335</v>
      </c>
      <c r="CB50" s="6">
        <v>248.885941</v>
      </c>
      <c r="CC50" s="6">
        <v>238.560608</v>
      </c>
      <c r="CD50" s="6">
        <v>234.13116500000001</v>
      </c>
      <c r="CE50" s="6">
        <v>230.429993</v>
      </c>
      <c r="CF50" s="6">
        <v>227.529999</v>
      </c>
      <c r="CG50" s="6">
        <v>236.89999399999999</v>
      </c>
      <c r="CH50" s="6">
        <v>238.94000199999999</v>
      </c>
      <c r="CI50" s="6">
        <v>252.75</v>
      </c>
      <c r="CJ50" s="6">
        <v>243.61999499999999</v>
      </c>
      <c r="CK50" s="6">
        <v>238.75</v>
      </c>
      <c r="CL50" s="6">
        <v>213.220001</v>
      </c>
      <c r="CM50" s="6">
        <v>217.36999499999999</v>
      </c>
      <c r="CN50" s="6">
        <v>206.509995</v>
      </c>
      <c r="CO50" s="6">
        <v>185.720001</v>
      </c>
      <c r="CP50" s="6">
        <v>198.25</v>
      </c>
      <c r="CQ50" s="6">
        <v>171.38999899999999</v>
      </c>
      <c r="CR50" s="6">
        <v>172.66000399999999</v>
      </c>
      <c r="CS50" s="6">
        <v>149.820007</v>
      </c>
      <c r="CT50" s="6">
        <v>168.240005</v>
      </c>
      <c r="CU50" s="6">
        <v>153.61999499999999</v>
      </c>
      <c r="CV50" s="6">
        <v>144.11999499999999</v>
      </c>
      <c r="CW50" s="6">
        <v>160.41999799999999</v>
      </c>
      <c r="CX50" s="6">
        <v>182.070007</v>
      </c>
      <c r="CY50" s="6">
        <v>194.91999799999999</v>
      </c>
      <c r="CZ50" s="6">
        <v>181.220001</v>
      </c>
      <c r="DA50" s="6">
        <v>179.520004</v>
      </c>
      <c r="DB50" s="6">
        <v>189.229996</v>
      </c>
    </row>
    <row r="51" spans="1:106">
      <c r="A51" s="3" t="s">
        <v>48</v>
      </c>
      <c r="B51">
        <v>164</v>
      </c>
      <c r="C51" s="6">
        <v>72.84</v>
      </c>
      <c r="D51" s="6">
        <v>73.209999999999994</v>
      </c>
      <c r="E51" s="6">
        <v>72.7</v>
      </c>
      <c r="F51" s="6">
        <v>75.28</v>
      </c>
      <c r="G51" s="6">
        <v>75.53</v>
      </c>
      <c r="H51" s="6">
        <v>74.3</v>
      </c>
      <c r="I51" s="6">
        <v>75</v>
      </c>
      <c r="J51" s="6">
        <v>75.010000000000005</v>
      </c>
      <c r="K51" s="6">
        <v>74.77</v>
      </c>
      <c r="L51" s="6">
        <v>74.5</v>
      </c>
      <c r="M51" s="6">
        <v>74.400000000000006</v>
      </c>
      <c r="N51" s="6">
        <v>73.650000000000006</v>
      </c>
      <c r="O51" s="6">
        <v>74.5</v>
      </c>
      <c r="P51" s="6">
        <v>74.41</v>
      </c>
      <c r="Q51" s="6">
        <v>74.900000000000006</v>
      </c>
      <c r="R51" s="6">
        <v>75.2</v>
      </c>
      <c r="S51" s="6">
        <v>74.52</v>
      </c>
      <c r="T51" s="6">
        <v>74.61</v>
      </c>
      <c r="U51" s="6">
        <v>76.62</v>
      </c>
      <c r="V51" s="6">
        <v>76.08</v>
      </c>
      <c r="W51" s="6">
        <v>75.900000000000006</v>
      </c>
      <c r="X51" s="6">
        <v>75.75</v>
      </c>
      <c r="Y51" s="6">
        <v>75.83</v>
      </c>
      <c r="Z51" s="6">
        <v>75.41</v>
      </c>
      <c r="AA51" s="6">
        <v>75.83</v>
      </c>
      <c r="AB51" s="6">
        <v>74.2</v>
      </c>
      <c r="AC51" s="6">
        <v>73.819999999999993</v>
      </c>
      <c r="AD51" s="6">
        <v>72.72</v>
      </c>
      <c r="AE51" s="6">
        <v>72.16</v>
      </c>
      <c r="AF51" s="6">
        <v>71.599999999999994</v>
      </c>
      <c r="AG51" s="6">
        <v>71.739999999999995</v>
      </c>
      <c r="AH51" s="6">
        <v>72.569999999999993</v>
      </c>
      <c r="AI51" s="6">
        <v>72.5</v>
      </c>
      <c r="AJ51" s="6">
        <v>71.8</v>
      </c>
      <c r="AK51" s="6">
        <v>70.69</v>
      </c>
      <c r="AL51" s="6">
        <v>71.92</v>
      </c>
      <c r="AM51" s="6">
        <v>73.31</v>
      </c>
      <c r="AN51" s="6">
        <v>72.64</v>
      </c>
      <c r="AO51" s="6">
        <v>73.11</v>
      </c>
      <c r="AP51" s="6">
        <v>73.2</v>
      </c>
      <c r="AQ51" s="6">
        <v>72.709999999999994</v>
      </c>
      <c r="AR51" s="6">
        <v>72.540000000000006</v>
      </c>
      <c r="AS51" s="6">
        <v>72.209999999999994</v>
      </c>
      <c r="AT51" s="6">
        <v>72.25</v>
      </c>
      <c r="AU51" s="6">
        <v>71.7</v>
      </c>
      <c r="AV51" s="6">
        <v>70.53</v>
      </c>
      <c r="AW51" s="6">
        <v>70.31</v>
      </c>
      <c r="AX51" s="6">
        <v>71.040000000000006</v>
      </c>
      <c r="AY51" s="6">
        <v>71.09</v>
      </c>
      <c r="AZ51" s="6">
        <v>72.52</v>
      </c>
      <c r="BA51" s="6">
        <v>71.78</v>
      </c>
      <c r="BB51" s="6">
        <v>72.33</v>
      </c>
      <c r="BC51" s="6">
        <v>73.7</v>
      </c>
      <c r="BD51" s="6">
        <v>73.44</v>
      </c>
      <c r="BE51" s="6">
        <v>73.25</v>
      </c>
      <c r="BF51" s="6">
        <v>75.11</v>
      </c>
      <c r="BG51" s="6">
        <v>75.87</v>
      </c>
      <c r="BH51" s="6">
        <v>75</v>
      </c>
      <c r="BI51" s="6">
        <v>76.05</v>
      </c>
      <c r="BJ51" s="6">
        <v>75.53</v>
      </c>
      <c r="BK51" s="6">
        <v>74.790000000000006</v>
      </c>
      <c r="BL51" s="6">
        <v>75.819999999999993</v>
      </c>
      <c r="BM51" s="6">
        <v>74.03</v>
      </c>
      <c r="BN51">
        <v>74.63</v>
      </c>
      <c r="BO51">
        <v>76.05</v>
      </c>
      <c r="BP51">
        <v>78.739999999999995</v>
      </c>
      <c r="BQ51">
        <v>79.599999999999994</v>
      </c>
      <c r="BR51">
        <v>78.59</v>
      </c>
      <c r="BS51">
        <v>79.25</v>
      </c>
      <c r="BT51">
        <v>79.349999999999994</v>
      </c>
      <c r="BU51">
        <v>78.87</v>
      </c>
      <c r="BV51">
        <v>79.97</v>
      </c>
      <c r="BW51">
        <v>80</v>
      </c>
      <c r="BX51">
        <v>79.75</v>
      </c>
      <c r="BY51">
        <v>78.959999999999994</v>
      </c>
      <c r="BZ51">
        <v>78.89</v>
      </c>
      <c r="CA51" s="6">
        <v>79.190002000000007</v>
      </c>
      <c r="CB51" s="6">
        <v>77.75</v>
      </c>
      <c r="CC51" s="6">
        <v>75.139999000000003</v>
      </c>
      <c r="CD51" s="6">
        <v>74.519997000000004</v>
      </c>
      <c r="CE51" s="6">
        <v>70.239998</v>
      </c>
      <c r="CF51" s="6">
        <v>70.5</v>
      </c>
      <c r="CG51" s="6">
        <v>74.209998999999996</v>
      </c>
      <c r="CH51" s="6">
        <v>74.459998999999996</v>
      </c>
      <c r="CI51" s="6">
        <v>76.639999000000003</v>
      </c>
      <c r="CJ51" s="6">
        <v>74.480002999999996</v>
      </c>
      <c r="CK51" s="6">
        <v>73.110000999999997</v>
      </c>
      <c r="CL51" s="6">
        <v>64</v>
      </c>
      <c r="CM51" s="6">
        <v>66.559997999999993</v>
      </c>
      <c r="CN51" s="6">
        <v>61.470001000000003</v>
      </c>
      <c r="CO51" s="6">
        <v>54.439999</v>
      </c>
      <c r="CP51" s="6">
        <v>59.849997999999999</v>
      </c>
      <c r="CQ51" s="6">
        <v>48.959999000000003</v>
      </c>
      <c r="CR51" s="6">
        <v>50.330002</v>
      </c>
      <c r="CS51" s="6">
        <v>48.990001999999997</v>
      </c>
      <c r="CT51" s="6">
        <v>50.380001</v>
      </c>
      <c r="CU51" s="6">
        <v>46.959999000000003</v>
      </c>
      <c r="CV51" s="6">
        <v>43.689999</v>
      </c>
      <c r="CW51" s="6">
        <v>52.740001999999997</v>
      </c>
      <c r="CX51" s="6">
        <v>54.060001</v>
      </c>
      <c r="CY51" s="6">
        <v>58.060001</v>
      </c>
      <c r="CZ51" s="6">
        <v>57.240001999999997</v>
      </c>
      <c r="DA51" s="6">
        <v>58.52</v>
      </c>
      <c r="DB51" s="6">
        <v>58.040000999999997</v>
      </c>
    </row>
    <row r="52" spans="1:106">
      <c r="A52" s="2" t="s">
        <v>49</v>
      </c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</row>
    <row r="53" spans="1:106">
      <c r="A53" s="3" t="s">
        <v>50</v>
      </c>
      <c r="B53">
        <v>838</v>
      </c>
      <c r="C53" s="6">
        <v>14.32</v>
      </c>
      <c r="D53" s="6">
        <v>14.29</v>
      </c>
      <c r="E53" s="6">
        <v>14.21</v>
      </c>
      <c r="F53" s="6">
        <v>13.12</v>
      </c>
      <c r="G53" s="6">
        <v>13.32</v>
      </c>
      <c r="H53" s="6">
        <v>12.99</v>
      </c>
      <c r="I53" s="6">
        <v>13.04</v>
      </c>
      <c r="J53" s="6">
        <v>13.09</v>
      </c>
      <c r="K53" s="6">
        <v>12.93</v>
      </c>
      <c r="L53" s="6">
        <v>12.96</v>
      </c>
      <c r="M53" s="6">
        <v>13.34</v>
      </c>
      <c r="N53" s="6">
        <v>13.61</v>
      </c>
      <c r="O53" s="6">
        <v>13.69</v>
      </c>
      <c r="P53" s="6">
        <v>13.62</v>
      </c>
      <c r="Q53" s="6">
        <v>13.61</v>
      </c>
      <c r="R53" s="6">
        <v>13.44</v>
      </c>
      <c r="S53" s="6">
        <v>13.45</v>
      </c>
      <c r="T53" s="6">
        <v>13.61</v>
      </c>
      <c r="U53" s="6">
        <v>13.56</v>
      </c>
      <c r="V53" s="6">
        <v>13.76</v>
      </c>
      <c r="W53" s="6">
        <v>13.77</v>
      </c>
      <c r="X53" s="6">
        <v>13.64</v>
      </c>
      <c r="Y53" s="6">
        <v>13.63</v>
      </c>
      <c r="Z53" s="6">
        <v>13.63</v>
      </c>
      <c r="AA53" s="6">
        <v>13.72</v>
      </c>
      <c r="AB53" s="6">
        <v>13.8</v>
      </c>
      <c r="AC53" s="6">
        <v>13.98</v>
      </c>
      <c r="AD53" s="6">
        <v>13.94</v>
      </c>
      <c r="AE53" s="6">
        <v>13.74</v>
      </c>
      <c r="AF53" s="6">
        <v>13.24</v>
      </c>
      <c r="AG53" s="6">
        <v>13.03</v>
      </c>
      <c r="AH53" s="6">
        <v>13.27</v>
      </c>
      <c r="AI53" s="6">
        <v>13.37</v>
      </c>
      <c r="AJ53" s="6">
        <v>13.36</v>
      </c>
      <c r="AK53" s="6">
        <v>13.36</v>
      </c>
      <c r="AL53" s="6">
        <v>13.32</v>
      </c>
      <c r="AM53" s="6">
        <v>13.26</v>
      </c>
      <c r="AN53" s="6">
        <v>13.32</v>
      </c>
      <c r="AO53" s="6">
        <v>13.16</v>
      </c>
      <c r="AP53" s="6">
        <v>13.18</v>
      </c>
      <c r="AQ53" s="6">
        <v>13.08</v>
      </c>
      <c r="AR53" s="6">
        <v>13.32</v>
      </c>
      <c r="AS53" s="6">
        <v>12.99</v>
      </c>
      <c r="AT53" s="6">
        <v>12.98</v>
      </c>
      <c r="AU53" s="6">
        <v>13</v>
      </c>
      <c r="AV53" s="6">
        <v>12.84</v>
      </c>
      <c r="AW53" s="6">
        <v>12.98</v>
      </c>
      <c r="AX53" s="6">
        <v>13.03</v>
      </c>
      <c r="AY53" s="6">
        <v>12.99</v>
      </c>
      <c r="AZ53" s="6">
        <v>13.26</v>
      </c>
      <c r="BA53" s="6">
        <v>13.35</v>
      </c>
      <c r="BB53" s="6">
        <v>13.62</v>
      </c>
      <c r="BC53" s="6">
        <v>13.51</v>
      </c>
      <c r="BD53" s="6">
        <v>13.38</v>
      </c>
      <c r="BE53" s="6">
        <v>13.39</v>
      </c>
      <c r="BF53" s="6">
        <v>13.34</v>
      </c>
      <c r="BG53" s="6">
        <v>13.46</v>
      </c>
      <c r="BH53" s="6">
        <v>13.21</v>
      </c>
      <c r="BI53" s="6">
        <v>13.11</v>
      </c>
      <c r="BJ53" s="6">
        <v>12.91</v>
      </c>
      <c r="BK53" s="6">
        <v>12.45</v>
      </c>
      <c r="BL53" s="6">
        <v>12.06</v>
      </c>
      <c r="BM53" s="6">
        <v>11.78</v>
      </c>
      <c r="BN53">
        <v>11.89</v>
      </c>
      <c r="BO53">
        <v>11.56</v>
      </c>
      <c r="BP53">
        <v>11.62</v>
      </c>
      <c r="BQ53">
        <v>11.79</v>
      </c>
      <c r="BR53">
        <v>11.64</v>
      </c>
      <c r="BS53">
        <v>11.68</v>
      </c>
      <c r="BT53">
        <v>11.85</v>
      </c>
      <c r="BU53">
        <v>11.38</v>
      </c>
      <c r="BV53">
        <v>11.8</v>
      </c>
      <c r="BW53">
        <v>12.1</v>
      </c>
      <c r="BX53">
        <v>11.95</v>
      </c>
      <c r="BY53">
        <v>11.78</v>
      </c>
      <c r="BZ53">
        <v>12.53</v>
      </c>
      <c r="CA53" s="6">
        <v>12.008922999999999</v>
      </c>
      <c r="CB53" s="6">
        <v>11.591474</v>
      </c>
      <c r="CC53" s="6">
        <v>10.17409</v>
      </c>
      <c r="CD53" s="6">
        <v>9.7081020000000002</v>
      </c>
      <c r="CE53" s="6">
        <v>9.4265670000000004</v>
      </c>
      <c r="CF53" s="6">
        <v>9.2615300000000005</v>
      </c>
      <c r="CG53" s="6">
        <v>9.6692699999999991</v>
      </c>
      <c r="CH53" s="6">
        <v>9.3877349999999993</v>
      </c>
      <c r="CI53" s="6">
        <v>9.7081020000000002</v>
      </c>
      <c r="CJ53" s="6">
        <v>9.4848169999999996</v>
      </c>
      <c r="CK53" s="6">
        <v>9.5818969999999997</v>
      </c>
      <c r="CL53" s="6">
        <v>8.5431299999999997</v>
      </c>
      <c r="CM53" s="6">
        <v>9.5139410000000009</v>
      </c>
      <c r="CN53" s="6">
        <v>8.7470009999999991</v>
      </c>
      <c r="CO53" s="6">
        <v>8.33</v>
      </c>
      <c r="CP53" s="6">
        <v>8.1300000000000008</v>
      </c>
      <c r="CQ53" s="6">
        <v>7.59</v>
      </c>
      <c r="CR53" s="6">
        <v>8.5</v>
      </c>
      <c r="CS53" s="6">
        <v>6.53</v>
      </c>
      <c r="CT53" s="6">
        <v>7.49</v>
      </c>
      <c r="CU53" s="6">
        <v>7.4</v>
      </c>
      <c r="CV53" s="6">
        <v>6.89</v>
      </c>
      <c r="CW53" s="6">
        <v>6.82</v>
      </c>
      <c r="CX53" s="6">
        <v>7.39</v>
      </c>
      <c r="CY53" s="6">
        <v>7.75</v>
      </c>
      <c r="CZ53" s="6">
        <v>7.51</v>
      </c>
      <c r="DA53" s="6">
        <v>7.09</v>
      </c>
      <c r="DB53" s="28">
        <v>7.25</v>
      </c>
    </row>
    <row r="54" spans="1:106">
      <c r="A54" s="3" t="s">
        <v>51</v>
      </c>
      <c r="B54">
        <v>869</v>
      </c>
      <c r="C54" s="6">
        <v>20.73</v>
      </c>
      <c r="D54" s="6">
        <v>20.82</v>
      </c>
      <c r="E54" s="6">
        <v>20.440000000000001</v>
      </c>
      <c r="F54" s="6">
        <v>19.18</v>
      </c>
      <c r="G54" s="6">
        <v>19.440000000000001</v>
      </c>
      <c r="H54" s="6">
        <v>19.420000000000002</v>
      </c>
      <c r="I54" s="6">
        <v>19.95</v>
      </c>
      <c r="J54" s="6">
        <v>19.920000000000002</v>
      </c>
      <c r="K54" s="6">
        <v>19.760000000000002</v>
      </c>
      <c r="L54" s="6">
        <v>19.72</v>
      </c>
      <c r="M54" s="6">
        <v>19.920000000000002</v>
      </c>
      <c r="N54" s="6">
        <v>20.25</v>
      </c>
      <c r="O54" s="6">
        <v>20.55</v>
      </c>
      <c r="P54" s="6">
        <v>20.45</v>
      </c>
      <c r="Q54" s="6">
        <v>20.49</v>
      </c>
      <c r="R54" s="6">
        <v>19.89</v>
      </c>
      <c r="S54" s="6">
        <v>19.7</v>
      </c>
      <c r="T54" s="6">
        <v>19.98</v>
      </c>
      <c r="U54" s="6">
        <v>20.75</v>
      </c>
      <c r="V54" s="6">
        <v>20.82</v>
      </c>
      <c r="W54" s="6">
        <v>20.76</v>
      </c>
      <c r="X54" s="6">
        <v>20.56</v>
      </c>
      <c r="Y54" s="6">
        <v>21.02</v>
      </c>
      <c r="Z54" s="6">
        <v>21.06</v>
      </c>
      <c r="AA54" s="6">
        <v>21.29</v>
      </c>
      <c r="AB54" s="6">
        <v>21.27</v>
      </c>
      <c r="AC54" s="6">
        <v>21.39</v>
      </c>
      <c r="AD54" s="6">
        <v>21.49</v>
      </c>
      <c r="AE54" s="6">
        <v>20.74</v>
      </c>
      <c r="AF54" s="6">
        <v>20.260000000000002</v>
      </c>
      <c r="AG54" s="6">
        <v>19.87</v>
      </c>
      <c r="AH54" s="6">
        <v>20.13</v>
      </c>
      <c r="AI54" s="6">
        <v>19.89</v>
      </c>
      <c r="AJ54" s="6">
        <v>20.079999999999998</v>
      </c>
      <c r="AK54" s="6">
        <v>20.34</v>
      </c>
      <c r="AL54" s="6">
        <v>20.7</v>
      </c>
      <c r="AM54" s="6">
        <v>20.399999999999999</v>
      </c>
      <c r="AN54" s="6">
        <v>20.420000000000002</v>
      </c>
      <c r="AO54" s="6">
        <v>20.7</v>
      </c>
      <c r="AP54" s="6">
        <v>20.71</v>
      </c>
      <c r="AQ54" s="6">
        <v>20.79</v>
      </c>
      <c r="AR54" s="6">
        <v>21.11</v>
      </c>
      <c r="AS54" s="6">
        <v>20.79</v>
      </c>
      <c r="AT54" s="6">
        <v>20.93</v>
      </c>
      <c r="AU54" s="6">
        <v>21.03</v>
      </c>
      <c r="AV54" s="6">
        <v>20.85</v>
      </c>
      <c r="AW54" s="6">
        <v>20.92</v>
      </c>
      <c r="AX54" s="6">
        <v>21.08</v>
      </c>
      <c r="AY54" s="6">
        <v>21.28</v>
      </c>
      <c r="AZ54" s="6">
        <v>21.69</v>
      </c>
      <c r="BA54" s="6">
        <v>21.5</v>
      </c>
      <c r="BB54" s="6">
        <v>21.87</v>
      </c>
      <c r="BC54" s="6">
        <v>22.23</v>
      </c>
      <c r="BD54" s="6">
        <v>22.29</v>
      </c>
      <c r="BE54" s="6">
        <v>22.39</v>
      </c>
      <c r="BF54" s="6">
        <v>22.37</v>
      </c>
      <c r="BG54" s="6">
        <v>22.4</v>
      </c>
      <c r="BH54" s="6">
        <v>22.4</v>
      </c>
      <c r="BI54" s="6">
        <v>22.44</v>
      </c>
      <c r="BJ54" s="6">
        <v>22.5</v>
      </c>
      <c r="BK54" s="6">
        <v>22.72</v>
      </c>
      <c r="BL54" s="6">
        <v>22.48</v>
      </c>
      <c r="BM54" s="6">
        <v>22.15</v>
      </c>
      <c r="BN54">
        <v>22.41</v>
      </c>
      <c r="BO54">
        <v>22.63</v>
      </c>
      <c r="BP54">
        <v>22.76</v>
      </c>
      <c r="BQ54">
        <v>22.91</v>
      </c>
      <c r="BR54">
        <v>23.28</v>
      </c>
      <c r="BS54">
        <v>23.55</v>
      </c>
      <c r="BT54">
        <v>23.59</v>
      </c>
      <c r="BU54">
        <v>23.36</v>
      </c>
      <c r="BV54">
        <v>23.61</v>
      </c>
      <c r="BW54">
        <v>24.08</v>
      </c>
      <c r="BX54">
        <v>24.13</v>
      </c>
      <c r="BY54">
        <v>23.8</v>
      </c>
      <c r="BZ54">
        <v>24.14</v>
      </c>
      <c r="CA54" s="6">
        <v>23.850344</v>
      </c>
      <c r="CB54" s="6">
        <v>23.642952000000001</v>
      </c>
      <c r="CC54" s="6">
        <v>22.951635</v>
      </c>
      <c r="CD54" s="6">
        <v>22.922008999999999</v>
      </c>
      <c r="CE54" s="6">
        <v>21.223351000000001</v>
      </c>
      <c r="CF54" s="6">
        <v>20.867816999999999</v>
      </c>
      <c r="CG54" s="6">
        <v>22.003550000000001</v>
      </c>
      <c r="CH54" s="6">
        <v>21.973921000000001</v>
      </c>
      <c r="CI54" s="6">
        <v>23.089898999999999</v>
      </c>
      <c r="CJ54" s="6">
        <v>23.149155</v>
      </c>
      <c r="CK54" s="6">
        <v>22.734366999999999</v>
      </c>
      <c r="CL54" s="6">
        <v>20.976451999999998</v>
      </c>
      <c r="CM54" s="6">
        <v>21.49</v>
      </c>
      <c r="CN54" s="6">
        <v>19.600000000000001</v>
      </c>
      <c r="CO54" s="6">
        <v>16.73</v>
      </c>
      <c r="CP54" s="6">
        <v>17.920000000000002</v>
      </c>
      <c r="CQ54" s="6">
        <v>13.72</v>
      </c>
      <c r="CR54" s="6">
        <v>14.97</v>
      </c>
      <c r="CS54" s="6">
        <v>13.98</v>
      </c>
      <c r="CT54" s="6">
        <v>14.97</v>
      </c>
      <c r="CU54" s="6">
        <v>14.07</v>
      </c>
      <c r="CV54" s="6">
        <v>13.01</v>
      </c>
      <c r="CW54" s="6">
        <v>14.23</v>
      </c>
      <c r="CX54" s="6">
        <v>15.93</v>
      </c>
      <c r="CY54" s="6">
        <v>17.559999000000001</v>
      </c>
      <c r="CZ54" s="6">
        <v>17.68</v>
      </c>
      <c r="DA54" s="6">
        <v>17.59</v>
      </c>
      <c r="DB54" s="6">
        <v>17.290001</v>
      </c>
    </row>
    <row r="55" spans="1:106">
      <c r="A55" s="3" t="s">
        <v>52</v>
      </c>
      <c r="B55">
        <v>216</v>
      </c>
      <c r="C55" s="6">
        <v>138.79</v>
      </c>
      <c r="D55" s="6">
        <v>137.41999999999999</v>
      </c>
      <c r="E55" s="6">
        <v>134.5</v>
      </c>
      <c r="F55" s="6">
        <v>131.66</v>
      </c>
      <c r="G55" s="6">
        <v>133.91</v>
      </c>
      <c r="H55" s="6">
        <v>131.91</v>
      </c>
      <c r="I55" s="6">
        <v>130.81</v>
      </c>
      <c r="J55" s="6">
        <v>131.11000000000001</v>
      </c>
      <c r="K55" s="6">
        <v>130.66</v>
      </c>
      <c r="L55" s="6">
        <v>131.37</v>
      </c>
      <c r="M55" s="6">
        <v>133.66999999999999</v>
      </c>
      <c r="N55" s="6">
        <v>134.68</v>
      </c>
      <c r="O55" s="6">
        <v>135.94</v>
      </c>
      <c r="P55" s="6">
        <v>134.32</v>
      </c>
      <c r="Q55" s="6">
        <v>136.88999999999999</v>
      </c>
      <c r="R55" s="6">
        <v>135.44999999999999</v>
      </c>
      <c r="S55" s="6">
        <v>132.32</v>
      </c>
      <c r="T55" s="6">
        <v>131.38999999999999</v>
      </c>
      <c r="U55" s="6">
        <v>134.41</v>
      </c>
      <c r="V55" s="6">
        <v>133.78</v>
      </c>
      <c r="W55" s="6">
        <v>133.66</v>
      </c>
      <c r="X55" s="6">
        <v>130.94999999999999</v>
      </c>
      <c r="Y55" s="6">
        <v>134.15</v>
      </c>
      <c r="Z55" s="6">
        <v>134.53</v>
      </c>
      <c r="AA55" s="6">
        <v>135</v>
      </c>
      <c r="AB55" s="6">
        <v>135.46</v>
      </c>
      <c r="AC55" s="6">
        <v>135.88</v>
      </c>
      <c r="AD55" s="6">
        <v>134</v>
      </c>
      <c r="AE55" s="6">
        <v>134.61000000000001</v>
      </c>
      <c r="AF55" s="6">
        <v>132</v>
      </c>
      <c r="AG55" s="6">
        <v>132.68</v>
      </c>
      <c r="AH55" s="6">
        <v>134.5</v>
      </c>
      <c r="AI55" s="6">
        <v>133.15</v>
      </c>
      <c r="AJ55" s="6">
        <v>137.19999999999999</v>
      </c>
      <c r="AK55" s="6">
        <v>139.91999999999999</v>
      </c>
      <c r="AL55" s="6">
        <v>142</v>
      </c>
      <c r="AM55" s="6">
        <v>140.58000000000001</v>
      </c>
      <c r="AN55" s="6">
        <v>140.04</v>
      </c>
      <c r="AO55" s="6">
        <v>140.6</v>
      </c>
      <c r="AP55" s="6">
        <v>141.08000000000001</v>
      </c>
      <c r="AQ55" s="6">
        <v>141.4</v>
      </c>
      <c r="AR55" s="6">
        <v>142.15</v>
      </c>
      <c r="AS55" s="6">
        <v>141.68</v>
      </c>
      <c r="AT55" s="6">
        <v>142.46</v>
      </c>
      <c r="AU55" s="6">
        <v>141.26</v>
      </c>
      <c r="AV55" s="6">
        <v>138.87</v>
      </c>
      <c r="AW55" s="6">
        <v>139.44999999999999</v>
      </c>
      <c r="AX55" s="6">
        <v>140.25</v>
      </c>
      <c r="AY55" s="6">
        <v>142.4</v>
      </c>
      <c r="AZ55" s="6">
        <v>143.29</v>
      </c>
      <c r="BA55" s="6">
        <v>141.94999999999999</v>
      </c>
      <c r="BB55" s="6">
        <v>144.05000000000001</v>
      </c>
      <c r="BC55" s="6">
        <v>145.22999999999999</v>
      </c>
      <c r="BD55" s="6">
        <v>145.25</v>
      </c>
      <c r="BE55" s="6">
        <v>148.21</v>
      </c>
      <c r="BF55" s="6">
        <v>148.69</v>
      </c>
      <c r="BG55" s="6">
        <v>149.78</v>
      </c>
      <c r="BH55" s="6">
        <v>149.9</v>
      </c>
      <c r="BI55" s="6">
        <v>150.30000000000001</v>
      </c>
      <c r="BJ55" s="6">
        <v>151.72999999999999</v>
      </c>
      <c r="BK55" s="6">
        <v>149.05000000000001</v>
      </c>
      <c r="BL55" s="6">
        <v>151.13</v>
      </c>
      <c r="BM55" s="6">
        <v>149.84</v>
      </c>
      <c r="BN55">
        <v>149.19</v>
      </c>
      <c r="BO55">
        <v>150.44999999999999</v>
      </c>
      <c r="BP55">
        <v>149.96</v>
      </c>
      <c r="BQ55">
        <v>150.5</v>
      </c>
      <c r="BR55">
        <v>150.49</v>
      </c>
      <c r="BS55">
        <v>152.91999999999999</v>
      </c>
      <c r="BT55">
        <v>161.03</v>
      </c>
      <c r="BU55">
        <v>163.21</v>
      </c>
      <c r="BV55">
        <v>163.92</v>
      </c>
      <c r="BW55">
        <v>165.97</v>
      </c>
      <c r="BX55">
        <v>166.21</v>
      </c>
      <c r="BY55">
        <v>165.6</v>
      </c>
      <c r="BZ55">
        <v>166.99</v>
      </c>
      <c r="CA55" s="6">
        <v>166.74916099999999</v>
      </c>
      <c r="CB55" s="6">
        <v>165.06242399999999</v>
      </c>
      <c r="CC55" s="6">
        <v>161.74847399999999</v>
      </c>
      <c r="CD55" s="6">
        <v>161.42105100000001</v>
      </c>
      <c r="CE55" s="6">
        <v>147.24250799999999</v>
      </c>
      <c r="CF55" s="6">
        <v>142.17236299999999</v>
      </c>
      <c r="CG55" s="6">
        <v>155.02136200000001</v>
      </c>
      <c r="CH55" s="6">
        <v>156.89662200000001</v>
      </c>
      <c r="CI55" s="6">
        <v>162.284256</v>
      </c>
      <c r="CJ55" s="6">
        <v>160.97456399999999</v>
      </c>
      <c r="CK55" s="6">
        <v>159.56564299999999</v>
      </c>
      <c r="CL55" s="6">
        <v>149.10784899999999</v>
      </c>
      <c r="CM55" s="6">
        <v>158.107101</v>
      </c>
      <c r="CN55" s="6">
        <v>152.65000900000001</v>
      </c>
      <c r="CO55" s="6">
        <v>142.509995</v>
      </c>
      <c r="CP55" s="6">
        <v>155.08999600000001</v>
      </c>
      <c r="CQ55" s="6">
        <v>135.820007</v>
      </c>
      <c r="CR55" s="6">
        <v>146.86999499999999</v>
      </c>
      <c r="CS55" s="6">
        <v>138.30999800000001</v>
      </c>
      <c r="CT55" s="6">
        <v>130.75</v>
      </c>
      <c r="CU55" s="6">
        <v>128.05999800000001</v>
      </c>
      <c r="CV55" s="6">
        <v>116.980003</v>
      </c>
      <c r="CW55" s="6">
        <v>123.709999</v>
      </c>
      <c r="CX55" s="6">
        <v>127.959999</v>
      </c>
      <c r="CY55" s="6">
        <v>142.470001</v>
      </c>
      <c r="CZ55" s="6">
        <v>136.88999899999999</v>
      </c>
      <c r="DA55" s="6">
        <v>148.05999800000001</v>
      </c>
      <c r="DB55" s="6">
        <v>144.39999399999999</v>
      </c>
    </row>
    <row r="56" spans="1:106">
      <c r="A56" s="2" t="s">
        <v>53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</row>
    <row r="57" spans="1:106">
      <c r="A57" s="3" t="s">
        <v>54</v>
      </c>
      <c r="B57">
        <v>104</v>
      </c>
      <c r="C57" s="6">
        <v>248.76</v>
      </c>
      <c r="D57" s="6">
        <v>255.82</v>
      </c>
      <c r="E57" s="6">
        <v>257.5</v>
      </c>
      <c r="F57" s="6">
        <v>257.13</v>
      </c>
      <c r="G57" s="6">
        <v>257.24</v>
      </c>
      <c r="H57" s="6">
        <v>259.43</v>
      </c>
      <c r="I57" s="6">
        <v>260.14</v>
      </c>
      <c r="J57" s="6">
        <v>262.2</v>
      </c>
      <c r="K57" s="6">
        <v>261.95999999999998</v>
      </c>
      <c r="L57" s="6">
        <v>264.47000000000003</v>
      </c>
      <c r="M57" s="6">
        <v>262.64</v>
      </c>
      <c r="N57" s="6">
        <v>265.76</v>
      </c>
      <c r="O57" s="6">
        <v>267.10000000000002</v>
      </c>
      <c r="P57" s="6">
        <v>266.29000000000002</v>
      </c>
      <c r="Q57" s="6">
        <v>263.19</v>
      </c>
      <c r="R57" s="6">
        <v>262.01</v>
      </c>
      <c r="S57" s="6">
        <v>261.77999999999997</v>
      </c>
      <c r="T57" s="6">
        <v>266.37</v>
      </c>
      <c r="U57" s="6">
        <v>264.29000000000002</v>
      </c>
      <c r="V57" s="6">
        <v>267.83999999999997</v>
      </c>
      <c r="W57" s="6">
        <v>267.25</v>
      </c>
      <c r="X57" s="6">
        <v>264.16000000000003</v>
      </c>
      <c r="Y57" s="6">
        <v>259.45</v>
      </c>
      <c r="Z57" s="6">
        <v>261.74</v>
      </c>
      <c r="AA57" s="6">
        <v>265.58</v>
      </c>
      <c r="AB57" s="6">
        <v>270.70999999999998</v>
      </c>
      <c r="AC57" s="6">
        <v>266.92</v>
      </c>
      <c r="AD57" s="6">
        <v>268.48</v>
      </c>
      <c r="AE57" s="6">
        <v>270.77</v>
      </c>
      <c r="AF57" s="6">
        <v>271.45999999999998</v>
      </c>
      <c r="AG57" s="6">
        <v>275.14999999999998</v>
      </c>
      <c r="AH57" s="6">
        <v>279.86</v>
      </c>
      <c r="AI57" s="6">
        <v>280.41000000000003</v>
      </c>
      <c r="AJ57" s="6">
        <v>279.74</v>
      </c>
      <c r="AK57" s="6">
        <v>280.02</v>
      </c>
      <c r="AL57" s="6">
        <v>279.44</v>
      </c>
      <c r="AM57" s="6">
        <v>284</v>
      </c>
      <c r="AN57" s="6">
        <v>284.27</v>
      </c>
      <c r="AO57" s="6">
        <v>289.91000000000003</v>
      </c>
      <c r="AP57" s="6">
        <v>289.8</v>
      </c>
      <c r="AQ57" s="6">
        <v>291.52</v>
      </c>
      <c r="AR57" s="6">
        <v>293.64999999999998</v>
      </c>
      <c r="AS57" s="6">
        <v>300.35000000000002</v>
      </c>
      <c r="AT57" s="6">
        <v>297.43</v>
      </c>
      <c r="AU57" s="6">
        <v>299.8</v>
      </c>
      <c r="AV57" s="6">
        <v>298.39</v>
      </c>
      <c r="AW57" s="6">
        <v>303.19</v>
      </c>
      <c r="AX57" s="6">
        <v>309.63</v>
      </c>
      <c r="AY57" s="6">
        <v>310.33</v>
      </c>
      <c r="AZ57" s="6">
        <v>316.95999999999998</v>
      </c>
      <c r="BA57" s="6">
        <v>312.68</v>
      </c>
      <c r="BB57" s="6">
        <v>311.33999999999997</v>
      </c>
      <c r="BC57" s="6">
        <v>315.24</v>
      </c>
      <c r="BD57" s="6">
        <v>318.73</v>
      </c>
      <c r="BE57" s="6">
        <v>316.57</v>
      </c>
      <c r="BF57" s="6">
        <v>317.7</v>
      </c>
      <c r="BG57" s="6">
        <v>319.23</v>
      </c>
      <c r="BH57" s="6">
        <v>318.31</v>
      </c>
      <c r="BI57" s="6">
        <v>308.95</v>
      </c>
      <c r="BJ57" s="6">
        <v>317.69</v>
      </c>
      <c r="BK57" s="6">
        <v>324.33999999999997</v>
      </c>
      <c r="BL57" s="6">
        <v>323.87</v>
      </c>
      <c r="BM57" s="6">
        <v>309.51</v>
      </c>
      <c r="BN57">
        <v>308.66000000000003</v>
      </c>
      <c r="BO57">
        <v>318.85000000000002</v>
      </c>
      <c r="BP57">
        <v>321.45</v>
      </c>
      <c r="BQ57">
        <v>325.20999999999998</v>
      </c>
      <c r="BR57">
        <v>320.02999999999997</v>
      </c>
      <c r="BS57">
        <v>321.55</v>
      </c>
      <c r="BT57">
        <v>319.61</v>
      </c>
      <c r="BU57">
        <v>327.2</v>
      </c>
      <c r="BV57">
        <v>324.87</v>
      </c>
      <c r="BW57">
        <v>324.95</v>
      </c>
      <c r="BX57">
        <v>319</v>
      </c>
      <c r="BY57">
        <v>323.62</v>
      </c>
      <c r="BZ57">
        <v>320.3</v>
      </c>
      <c r="CA57" s="6">
        <v>313.04998799999998</v>
      </c>
      <c r="CB57" s="6">
        <v>298.17999300000002</v>
      </c>
      <c r="CC57" s="6">
        <v>288.07998700000002</v>
      </c>
      <c r="CD57" s="6">
        <v>292.64999399999999</v>
      </c>
      <c r="CE57" s="6">
        <v>273.51998900000001</v>
      </c>
      <c r="CF57" s="6">
        <v>273.35998499999999</v>
      </c>
      <c r="CG57" s="6">
        <v>298.80999800000001</v>
      </c>
      <c r="CH57" s="6">
        <v>289.32000699999998</v>
      </c>
      <c r="CI57" s="6">
        <v>302.73998999999998</v>
      </c>
      <c r="CJ57" s="6">
        <v>292.92001299999998</v>
      </c>
      <c r="CK57" s="6">
        <v>289.02999899999998</v>
      </c>
      <c r="CL57" s="6">
        <v>266.17001299999998</v>
      </c>
      <c r="CM57" s="6">
        <v>285.33999599999999</v>
      </c>
      <c r="CN57" s="6">
        <v>275.42999300000002</v>
      </c>
      <c r="CO57" s="6">
        <v>248.229996</v>
      </c>
      <c r="CP57" s="6">
        <v>277.97000100000002</v>
      </c>
      <c r="CQ57" s="6">
        <v>242.21000699999999</v>
      </c>
      <c r="CR57" s="6">
        <v>252.86000100000001</v>
      </c>
      <c r="CS57" s="6">
        <v>246.66999799999999</v>
      </c>
      <c r="CT57" s="6">
        <v>244.779999</v>
      </c>
      <c r="CU57" s="6">
        <v>229.240005</v>
      </c>
      <c r="CV57" s="6">
        <v>224.36999499999999</v>
      </c>
      <c r="CW57" s="6">
        <v>246.88000500000001</v>
      </c>
      <c r="CX57" s="6">
        <v>245.520004</v>
      </c>
      <c r="CY57" s="6">
        <v>258.44000199999999</v>
      </c>
      <c r="CZ57" s="6">
        <v>247.740005</v>
      </c>
      <c r="DA57" s="6">
        <v>254.80999800000001</v>
      </c>
      <c r="DB57" s="6">
        <v>254.28999300000001</v>
      </c>
    </row>
    <row r="58" spans="1:106">
      <c r="A58" s="3" t="s">
        <v>55</v>
      </c>
      <c r="B58">
        <v>228</v>
      </c>
      <c r="C58" s="6">
        <v>143.37</v>
      </c>
      <c r="D58" s="6">
        <v>143.72</v>
      </c>
      <c r="E58" s="6">
        <v>144.55000000000001</v>
      </c>
      <c r="F58" s="6">
        <v>144.46</v>
      </c>
      <c r="G58" s="6">
        <v>144.06</v>
      </c>
      <c r="H58" s="6">
        <v>144.26</v>
      </c>
      <c r="I58" s="6">
        <v>145.96</v>
      </c>
      <c r="J58" s="6">
        <v>146.11000000000001</v>
      </c>
      <c r="K58" s="6">
        <v>147.07</v>
      </c>
      <c r="L58" s="6">
        <v>147.31</v>
      </c>
      <c r="M58" s="6">
        <v>148.06</v>
      </c>
      <c r="N58" s="6">
        <v>149.97</v>
      </c>
      <c r="O58" s="6">
        <v>150.34</v>
      </c>
      <c r="P58" s="6">
        <v>150.38999999999999</v>
      </c>
      <c r="Q58" s="6">
        <v>149.62</v>
      </c>
      <c r="R58" s="6">
        <v>149.47999999999999</v>
      </c>
      <c r="S58" s="6">
        <v>149.59</v>
      </c>
      <c r="T58" s="6">
        <v>151.22999999999999</v>
      </c>
      <c r="U58" s="6">
        <v>152.03</v>
      </c>
      <c r="V58" s="6">
        <v>152.32</v>
      </c>
      <c r="W58" s="6">
        <v>151.38</v>
      </c>
      <c r="X58" s="6">
        <v>149.55000000000001</v>
      </c>
      <c r="Y58" s="6">
        <v>149.31</v>
      </c>
      <c r="Z58" s="6">
        <v>149.85</v>
      </c>
      <c r="AA58" s="6">
        <v>149.93</v>
      </c>
      <c r="AB58" s="6">
        <v>151.75</v>
      </c>
      <c r="AC58" s="6">
        <v>151.36000000000001</v>
      </c>
      <c r="AD58" s="6">
        <v>151.13</v>
      </c>
      <c r="AE58" s="6">
        <v>151.69999999999999</v>
      </c>
      <c r="AF58" s="6">
        <v>153.24</v>
      </c>
      <c r="AG58" s="6">
        <v>154.53</v>
      </c>
      <c r="AH58" s="6">
        <v>155.53</v>
      </c>
      <c r="AI58" s="6">
        <v>154.69</v>
      </c>
      <c r="AJ58" s="6">
        <v>154.37</v>
      </c>
      <c r="AK58" s="6">
        <v>155.71</v>
      </c>
      <c r="AL58" s="6">
        <v>157.41</v>
      </c>
      <c r="AM58" s="6">
        <v>157.41</v>
      </c>
      <c r="AN58" s="6">
        <v>157.38</v>
      </c>
      <c r="AO58" s="6">
        <v>158.66999999999999</v>
      </c>
      <c r="AP58" s="6">
        <v>158.96</v>
      </c>
      <c r="AQ58" s="6">
        <v>157.59</v>
      </c>
      <c r="AR58" s="6">
        <v>157.69999999999999</v>
      </c>
      <c r="AS58" s="6">
        <v>160.62</v>
      </c>
      <c r="AT58" s="6">
        <v>158.62</v>
      </c>
      <c r="AU58" s="6">
        <v>159.03</v>
      </c>
      <c r="AV58" s="6">
        <v>157.58000000000001</v>
      </c>
      <c r="AW58" s="6">
        <v>160.09</v>
      </c>
      <c r="AX58" s="6">
        <v>162.09</v>
      </c>
      <c r="AY58" s="6">
        <v>161.34</v>
      </c>
      <c r="AZ58" s="6">
        <v>163.28</v>
      </c>
      <c r="BA58" s="6">
        <v>162.13</v>
      </c>
      <c r="BB58" s="6">
        <v>163.18</v>
      </c>
      <c r="BC58" s="6">
        <v>166.17</v>
      </c>
      <c r="BD58" s="6">
        <v>167.1</v>
      </c>
      <c r="BE58" s="6">
        <v>166.5</v>
      </c>
      <c r="BF58" s="6">
        <v>165.7</v>
      </c>
      <c r="BG58" s="6">
        <v>166.72</v>
      </c>
      <c r="BH58" s="6">
        <v>165.04</v>
      </c>
      <c r="BI58" s="6">
        <v>162.28</v>
      </c>
      <c r="BJ58" s="6">
        <v>165.46</v>
      </c>
      <c r="BK58" s="6">
        <v>168.04</v>
      </c>
      <c r="BL58" s="6">
        <v>172.78</v>
      </c>
      <c r="BM58" s="6">
        <v>170.23</v>
      </c>
      <c r="BN58">
        <v>174.38</v>
      </c>
      <c r="BO58">
        <v>180.12</v>
      </c>
      <c r="BP58">
        <v>179.9</v>
      </c>
      <c r="BQ58">
        <v>183.63</v>
      </c>
      <c r="BR58">
        <v>183.89</v>
      </c>
      <c r="BS58">
        <v>188.7</v>
      </c>
      <c r="BT58">
        <v>184.44</v>
      </c>
      <c r="BU58">
        <v>184.71</v>
      </c>
      <c r="BV58">
        <v>183.71</v>
      </c>
      <c r="BW58">
        <v>185.35</v>
      </c>
      <c r="BX58">
        <v>187.23</v>
      </c>
      <c r="BY58">
        <v>187.28</v>
      </c>
      <c r="BZ58">
        <v>184.42</v>
      </c>
      <c r="CA58" s="6">
        <v>178.58999600000001</v>
      </c>
      <c r="CB58" s="6">
        <v>170.88999899999999</v>
      </c>
      <c r="CC58" s="6">
        <v>168.070007</v>
      </c>
      <c r="CD58" s="6">
        <v>170.16999799999999</v>
      </c>
      <c r="CE58" s="6">
        <v>158.179993</v>
      </c>
      <c r="CF58" s="6">
        <v>162.009995</v>
      </c>
      <c r="CG58" s="6">
        <v>172.78999300000001</v>
      </c>
      <c r="CH58" s="6">
        <v>164.509995</v>
      </c>
      <c r="CI58" s="6">
        <v>170.550003</v>
      </c>
      <c r="CJ58" s="6">
        <v>166.270004</v>
      </c>
      <c r="CK58" s="6">
        <v>161.570007</v>
      </c>
      <c r="CL58" s="6">
        <v>150.61999499999999</v>
      </c>
      <c r="CM58" s="6">
        <v>160.91999799999999</v>
      </c>
      <c r="CN58" s="6">
        <v>153.63000500000001</v>
      </c>
      <c r="CO58" s="6">
        <v>139.05999800000001</v>
      </c>
      <c r="CP58" s="6">
        <v>158.83000200000001</v>
      </c>
      <c r="CQ58" s="6">
        <v>135.41999799999999</v>
      </c>
      <c r="CR58" s="6">
        <v>146.570007</v>
      </c>
      <c r="CS58" s="6">
        <v>140.39999399999999</v>
      </c>
      <c r="CT58" s="6">
        <v>142.71000699999999</v>
      </c>
      <c r="CU58" s="6">
        <v>137.35000600000001</v>
      </c>
      <c r="CV58" s="6">
        <v>135.979996</v>
      </c>
      <c r="CW58" s="6">
        <v>148.33999600000001</v>
      </c>
      <c r="CX58" s="6">
        <v>146.91999799999999</v>
      </c>
      <c r="CY58" s="6">
        <v>156.11000100000001</v>
      </c>
      <c r="CZ58" s="6">
        <v>149.699997</v>
      </c>
      <c r="DA58" s="6">
        <v>160.229996</v>
      </c>
      <c r="DB58" s="6">
        <v>157.71000699999999</v>
      </c>
    </row>
    <row r="59" spans="1:106">
      <c r="A59" s="3" t="s">
        <v>56</v>
      </c>
      <c r="B59">
        <v>182</v>
      </c>
      <c r="C59" s="6">
        <v>178.86</v>
      </c>
      <c r="D59" s="6">
        <v>180.93</v>
      </c>
      <c r="E59" s="6">
        <v>178.95</v>
      </c>
      <c r="F59" s="6">
        <v>176.37</v>
      </c>
      <c r="G59" s="6">
        <v>176.77</v>
      </c>
      <c r="H59" s="6">
        <v>178.43</v>
      </c>
      <c r="I59" s="6">
        <v>178.97</v>
      </c>
      <c r="J59" s="6">
        <v>179.54</v>
      </c>
      <c r="K59" s="6">
        <v>179.74</v>
      </c>
      <c r="L59" s="6">
        <v>179.41</v>
      </c>
      <c r="M59" s="6">
        <v>179.75</v>
      </c>
      <c r="N59" s="6">
        <v>179.77</v>
      </c>
      <c r="O59" s="6">
        <v>179.66</v>
      </c>
      <c r="P59" s="6">
        <v>182.77</v>
      </c>
      <c r="Q59" s="6">
        <v>181.66</v>
      </c>
      <c r="R59" s="6">
        <v>179.89</v>
      </c>
      <c r="S59" s="6">
        <v>179.47</v>
      </c>
      <c r="T59" s="6">
        <v>180.97</v>
      </c>
      <c r="U59" s="6">
        <v>182.55</v>
      </c>
      <c r="V59" s="6">
        <v>184.37</v>
      </c>
      <c r="W59" s="6">
        <v>184.51</v>
      </c>
      <c r="X59" s="6">
        <v>181.79</v>
      </c>
      <c r="Y59" s="6">
        <v>181.9</v>
      </c>
      <c r="Z59" s="6">
        <v>180.6</v>
      </c>
      <c r="AA59" s="6">
        <v>181.89</v>
      </c>
      <c r="AB59" s="6">
        <v>182.17</v>
      </c>
      <c r="AC59" s="6">
        <v>182.92</v>
      </c>
      <c r="AD59" s="6">
        <v>182.26</v>
      </c>
      <c r="AE59" s="6">
        <v>182.01</v>
      </c>
      <c r="AF59" s="6">
        <v>182.64</v>
      </c>
      <c r="AG59" s="6">
        <v>185.14</v>
      </c>
      <c r="AH59" s="6">
        <v>186.24</v>
      </c>
      <c r="AI59" s="6">
        <v>185.52</v>
      </c>
      <c r="AJ59" s="6">
        <v>184.9</v>
      </c>
      <c r="AK59" s="6">
        <v>186.54</v>
      </c>
      <c r="AL59" s="6">
        <v>188</v>
      </c>
      <c r="AM59" s="6">
        <v>187.08</v>
      </c>
      <c r="AN59" s="6">
        <v>187.57</v>
      </c>
      <c r="AO59" s="6">
        <v>189.16</v>
      </c>
      <c r="AP59" s="6">
        <v>189.39</v>
      </c>
      <c r="AQ59" s="6">
        <v>187.83</v>
      </c>
      <c r="AR59" s="6">
        <v>187.9</v>
      </c>
      <c r="AS59" s="6">
        <v>191.12</v>
      </c>
      <c r="AT59" s="6">
        <v>189.6</v>
      </c>
      <c r="AU59" s="6">
        <v>189.19</v>
      </c>
      <c r="AV59" s="6">
        <v>188.69</v>
      </c>
      <c r="AW59" s="6">
        <v>191.92</v>
      </c>
      <c r="AX59" s="6">
        <v>193.25</v>
      </c>
      <c r="AY59" s="6">
        <v>193.77</v>
      </c>
      <c r="AZ59" s="6">
        <v>195.33</v>
      </c>
      <c r="BA59" s="6">
        <v>196.05</v>
      </c>
      <c r="BB59" s="6">
        <v>199.8</v>
      </c>
      <c r="BC59" s="6">
        <v>200.95</v>
      </c>
      <c r="BD59" s="6">
        <v>204.7</v>
      </c>
      <c r="BE59" s="6">
        <v>207.29</v>
      </c>
      <c r="BF59" s="6">
        <v>207.9</v>
      </c>
      <c r="BG59" s="6">
        <v>206.52</v>
      </c>
      <c r="BH59" s="6">
        <v>205</v>
      </c>
      <c r="BI59" s="6">
        <v>201.69</v>
      </c>
      <c r="BJ59" s="6">
        <v>202.85</v>
      </c>
      <c r="BK59" s="6">
        <v>204.86</v>
      </c>
      <c r="BL59" s="6">
        <v>208.21</v>
      </c>
      <c r="BM59" s="6">
        <v>198.97</v>
      </c>
      <c r="BN59">
        <v>200.81</v>
      </c>
      <c r="BO59">
        <v>203.56</v>
      </c>
      <c r="BP59">
        <v>202.81</v>
      </c>
      <c r="BQ59">
        <v>203.04</v>
      </c>
      <c r="BR59">
        <v>202.74</v>
      </c>
      <c r="BS59">
        <v>205.99</v>
      </c>
      <c r="BT59">
        <v>203.94</v>
      </c>
      <c r="BU59">
        <v>207.44</v>
      </c>
      <c r="BV59">
        <v>207.4</v>
      </c>
      <c r="BW59">
        <v>210.29</v>
      </c>
      <c r="BX59">
        <v>211.2</v>
      </c>
      <c r="BY59">
        <v>213.31</v>
      </c>
      <c r="BZ59">
        <v>211.45</v>
      </c>
      <c r="CA59" s="6">
        <v>208.80999800000001</v>
      </c>
      <c r="CB59" s="6">
        <v>198.78999300000001</v>
      </c>
      <c r="CC59" s="6">
        <v>188.39999399999999</v>
      </c>
      <c r="CD59" s="6">
        <v>187.21000699999999</v>
      </c>
      <c r="CE59" s="6">
        <v>180.009995</v>
      </c>
      <c r="CF59" s="6">
        <v>181.759995</v>
      </c>
      <c r="CG59" s="6">
        <v>192.33000200000001</v>
      </c>
      <c r="CH59" s="6">
        <v>185.729996</v>
      </c>
      <c r="CI59" s="6">
        <v>194.28999300000001</v>
      </c>
      <c r="CJ59" s="6">
        <v>186.96000699999999</v>
      </c>
      <c r="CK59" s="6">
        <v>184.36000100000001</v>
      </c>
      <c r="CL59" s="6">
        <v>171.13000500000001</v>
      </c>
      <c r="CM59" s="6">
        <v>182.60000600000001</v>
      </c>
      <c r="CN59" s="6">
        <v>172.949997</v>
      </c>
      <c r="CO59" s="6">
        <v>160.08000200000001</v>
      </c>
      <c r="CP59" s="6">
        <v>175.83000200000001</v>
      </c>
      <c r="CQ59" s="6">
        <v>152.009995</v>
      </c>
      <c r="CR59" s="6">
        <v>157.88999899999999</v>
      </c>
      <c r="CS59" s="6">
        <v>148.479996</v>
      </c>
      <c r="CT59" s="6">
        <v>152.25</v>
      </c>
      <c r="CU59" s="6">
        <v>146.83000200000001</v>
      </c>
      <c r="CV59" s="6">
        <v>135.740005</v>
      </c>
      <c r="CW59" s="6">
        <v>154.529999</v>
      </c>
      <c r="CX59" s="6">
        <v>161.779999</v>
      </c>
      <c r="CY59" s="6">
        <v>168.88000500000001</v>
      </c>
      <c r="CZ59" s="6">
        <v>161.55999800000001</v>
      </c>
      <c r="DA59" s="6">
        <v>165.570007</v>
      </c>
      <c r="DB59" s="6">
        <v>161.11999499999999</v>
      </c>
    </row>
    <row r="60" spans="1:106">
      <c r="A60" s="3" t="s">
        <v>57</v>
      </c>
      <c r="B60">
        <v>99</v>
      </c>
      <c r="C60" s="6">
        <v>132.58000000000001</v>
      </c>
      <c r="D60" s="6">
        <v>133.69</v>
      </c>
      <c r="E60" s="6">
        <v>134.47</v>
      </c>
      <c r="F60" s="6">
        <v>133.56</v>
      </c>
      <c r="G60" s="6">
        <v>135.11000000000001</v>
      </c>
      <c r="H60" s="6">
        <v>135.08000000000001</v>
      </c>
      <c r="I60" s="6">
        <v>136.44</v>
      </c>
      <c r="J60" s="6">
        <v>136.78</v>
      </c>
      <c r="K60" s="6">
        <v>135.37</v>
      </c>
      <c r="L60" s="6">
        <v>134.30000000000001</v>
      </c>
      <c r="M60" s="6">
        <v>134.41</v>
      </c>
      <c r="N60" s="6">
        <v>135.47999999999999</v>
      </c>
      <c r="O60" s="6">
        <v>135.18</v>
      </c>
      <c r="P60" s="6">
        <v>135.74</v>
      </c>
      <c r="Q60" s="6">
        <v>135</v>
      </c>
      <c r="R60" s="6">
        <v>135.43</v>
      </c>
      <c r="S60" s="6">
        <v>135.41</v>
      </c>
      <c r="T60" s="6">
        <v>135.74</v>
      </c>
      <c r="U60" s="6">
        <v>135.34</v>
      </c>
      <c r="V60" s="6">
        <v>135.41</v>
      </c>
      <c r="W60" s="6">
        <v>135.94999999999999</v>
      </c>
      <c r="X60" s="6">
        <v>133.44999999999999</v>
      </c>
      <c r="Y60" s="6">
        <v>134.22</v>
      </c>
      <c r="Z60" s="6">
        <v>135.54</v>
      </c>
      <c r="AA60" s="6">
        <v>134.85</v>
      </c>
      <c r="AB60" s="6">
        <v>135</v>
      </c>
      <c r="AC60" s="6">
        <v>134.86000000000001</v>
      </c>
      <c r="AD60" s="6">
        <v>134.69999999999999</v>
      </c>
      <c r="AE60" s="6">
        <v>134.91</v>
      </c>
      <c r="AF60" s="6">
        <v>136.69999999999999</v>
      </c>
      <c r="AG60" s="6">
        <v>138.5</v>
      </c>
      <c r="AH60" s="6">
        <v>139.38999999999999</v>
      </c>
      <c r="AI60" s="6">
        <v>134.04</v>
      </c>
      <c r="AJ60" s="6">
        <v>133.38999999999999</v>
      </c>
      <c r="AK60" s="6">
        <v>133.08000000000001</v>
      </c>
      <c r="AL60" s="6">
        <v>134.41</v>
      </c>
      <c r="AM60" s="6">
        <v>133.77000000000001</v>
      </c>
      <c r="AN60" s="6">
        <v>133.6</v>
      </c>
      <c r="AO60" s="6">
        <v>134.58000000000001</v>
      </c>
      <c r="AP60" s="6">
        <v>134.97999999999999</v>
      </c>
      <c r="AQ60" s="6">
        <v>133.38999999999999</v>
      </c>
      <c r="AR60" s="6">
        <v>133.99</v>
      </c>
      <c r="AS60" s="6">
        <v>136.81</v>
      </c>
      <c r="AT60" s="6">
        <v>133.97999999999999</v>
      </c>
      <c r="AU60" s="6">
        <v>134.19999999999999</v>
      </c>
      <c r="AV60" s="6">
        <v>133.62</v>
      </c>
      <c r="AW60" s="6">
        <v>135.08000000000001</v>
      </c>
      <c r="AX60" s="6">
        <v>137.13</v>
      </c>
      <c r="AY60" s="6">
        <v>136.97999999999999</v>
      </c>
      <c r="AZ60" s="6">
        <v>138.33000000000001</v>
      </c>
      <c r="BA60" s="6">
        <v>137.25</v>
      </c>
      <c r="BB60" s="6">
        <v>136.4</v>
      </c>
      <c r="BC60" s="6">
        <v>137.29</v>
      </c>
      <c r="BD60" s="6">
        <v>139.96</v>
      </c>
      <c r="BE60" s="6">
        <v>139.54</v>
      </c>
      <c r="BF60" s="6">
        <v>139.58000000000001</v>
      </c>
      <c r="BG60" s="6">
        <v>138.13999999999999</v>
      </c>
      <c r="BH60" s="6">
        <v>139.06</v>
      </c>
      <c r="BI60" s="6">
        <v>136.25</v>
      </c>
      <c r="BJ60" s="6">
        <v>132.46</v>
      </c>
      <c r="BK60" s="6">
        <v>131.65</v>
      </c>
      <c r="BL60" s="6">
        <v>130.97</v>
      </c>
      <c r="BM60" s="6">
        <v>130.77000000000001</v>
      </c>
      <c r="BN60">
        <v>132.63999999999999</v>
      </c>
      <c r="BO60">
        <v>135.47999999999999</v>
      </c>
      <c r="BP60">
        <v>137.41999999999999</v>
      </c>
      <c r="BQ60">
        <v>136.49</v>
      </c>
      <c r="BR60">
        <v>135.06</v>
      </c>
      <c r="BS60">
        <v>135.22999999999999</v>
      </c>
      <c r="BT60">
        <v>136.55000000000001</v>
      </c>
      <c r="BU60">
        <v>138.16</v>
      </c>
      <c r="BV60">
        <v>137.44999999999999</v>
      </c>
      <c r="BW60">
        <v>137.44</v>
      </c>
      <c r="BX60">
        <v>137.76</v>
      </c>
      <c r="BY60">
        <v>139.69999999999999</v>
      </c>
      <c r="BZ60">
        <v>138.43</v>
      </c>
      <c r="CA60" s="6">
        <v>136.63000500000001</v>
      </c>
      <c r="CB60" s="6">
        <v>130.91999799999999</v>
      </c>
      <c r="CC60" s="6">
        <v>127.779999</v>
      </c>
      <c r="CD60" s="6">
        <v>126.900002</v>
      </c>
      <c r="CE60" s="6">
        <v>124.80999799999999</v>
      </c>
      <c r="CF60" s="6">
        <v>123.57</v>
      </c>
      <c r="CG60" s="6">
        <v>126.529999</v>
      </c>
      <c r="CH60" s="6">
        <v>123.800003</v>
      </c>
      <c r="CI60" s="6">
        <v>125.660004</v>
      </c>
      <c r="CJ60" s="6">
        <v>121.279999</v>
      </c>
      <c r="CK60" s="6">
        <v>121.489998</v>
      </c>
      <c r="CL60" s="6">
        <v>111.5</v>
      </c>
      <c r="CM60" s="6">
        <v>117.989998</v>
      </c>
      <c r="CN60" s="6">
        <v>112.620003</v>
      </c>
      <c r="CO60" s="6">
        <v>101.44000200000001</v>
      </c>
      <c r="CP60" s="6">
        <v>108.349998</v>
      </c>
      <c r="CQ60" s="6">
        <v>97.489998</v>
      </c>
      <c r="CR60" s="6">
        <v>102.959999</v>
      </c>
      <c r="CS60" s="6">
        <v>96.949996999999996</v>
      </c>
      <c r="CT60" s="6">
        <v>94.129997000000003</v>
      </c>
      <c r="CU60" s="6">
        <v>94.300003000000004</v>
      </c>
      <c r="CV60" s="6">
        <v>98.32</v>
      </c>
      <c r="CW60" s="6">
        <v>105.970001</v>
      </c>
      <c r="CX60" s="6">
        <v>106.400002</v>
      </c>
      <c r="CY60" s="6">
        <v>115.25</v>
      </c>
      <c r="CZ60" s="6">
        <v>110.279999</v>
      </c>
      <c r="DA60" s="6">
        <v>112.900002</v>
      </c>
      <c r="DB60" s="6">
        <v>110.5</v>
      </c>
    </row>
    <row r="61" spans="1:106">
      <c r="A61" s="3" t="s">
        <v>58</v>
      </c>
      <c r="B61">
        <v>112</v>
      </c>
      <c r="C61" s="6">
        <v>115.37</v>
      </c>
      <c r="D61" s="6">
        <v>117.81</v>
      </c>
      <c r="E61" s="6">
        <v>114.26</v>
      </c>
      <c r="F61" s="6">
        <v>115.26</v>
      </c>
      <c r="G61" s="6">
        <v>114.33</v>
      </c>
      <c r="H61" s="6">
        <v>114.21</v>
      </c>
      <c r="I61" s="6">
        <v>116.2</v>
      </c>
      <c r="J61" s="6">
        <v>116.33</v>
      </c>
      <c r="K61" s="6">
        <v>117.4</v>
      </c>
      <c r="L61" s="6">
        <v>118.09</v>
      </c>
      <c r="M61" s="6">
        <v>117.12</v>
      </c>
      <c r="N61" s="6">
        <v>118.03</v>
      </c>
      <c r="O61" s="6">
        <v>117.94</v>
      </c>
      <c r="P61" s="6">
        <v>118.3</v>
      </c>
      <c r="Q61" s="6">
        <v>119.59</v>
      </c>
      <c r="R61" s="6">
        <v>120</v>
      </c>
      <c r="S61" s="6">
        <v>118.56</v>
      </c>
      <c r="T61" s="6">
        <v>118.46</v>
      </c>
      <c r="U61" s="6">
        <v>118.05</v>
      </c>
      <c r="V61" s="6">
        <v>119.49</v>
      </c>
      <c r="W61" s="6">
        <v>118.69</v>
      </c>
      <c r="X61" s="6">
        <v>118.64</v>
      </c>
      <c r="Y61" s="6">
        <v>119.27</v>
      </c>
      <c r="Z61" s="6">
        <v>119.37</v>
      </c>
      <c r="AA61" s="6">
        <v>118.39</v>
      </c>
      <c r="AB61" s="6">
        <v>115.27</v>
      </c>
      <c r="AC61" s="6">
        <v>115.12</v>
      </c>
      <c r="AD61" s="6">
        <v>113.78</v>
      </c>
      <c r="AE61" s="6">
        <v>112.99</v>
      </c>
      <c r="AF61" s="6">
        <v>112.86</v>
      </c>
      <c r="AG61" s="6">
        <v>113.6</v>
      </c>
      <c r="AH61" s="6">
        <v>113.67</v>
      </c>
      <c r="AI61" s="6">
        <v>115.91</v>
      </c>
      <c r="AJ61" s="6">
        <v>116.1</v>
      </c>
      <c r="AK61" s="6">
        <v>118.24</v>
      </c>
      <c r="AL61" s="6">
        <v>115.79</v>
      </c>
      <c r="AM61" s="6">
        <v>116.28</v>
      </c>
      <c r="AN61" s="6">
        <v>115.43</v>
      </c>
      <c r="AO61" s="6">
        <v>114.74</v>
      </c>
      <c r="AP61" s="6">
        <v>114.33</v>
      </c>
      <c r="AQ61" s="6">
        <v>115.52</v>
      </c>
      <c r="AR61" s="6">
        <v>114.78</v>
      </c>
      <c r="AS61" s="6">
        <v>117.23</v>
      </c>
      <c r="AT61" s="6">
        <v>118.15</v>
      </c>
      <c r="AU61" s="6">
        <v>120.41</v>
      </c>
      <c r="AV61" s="6">
        <v>122.23</v>
      </c>
      <c r="AW61" s="6">
        <v>123.85</v>
      </c>
      <c r="AX61" s="6">
        <v>121.87</v>
      </c>
      <c r="AY61" s="6">
        <v>121.84</v>
      </c>
      <c r="AZ61" s="6">
        <v>121.35</v>
      </c>
      <c r="BA61" s="6">
        <v>122.44</v>
      </c>
      <c r="BB61" s="6">
        <v>123.44</v>
      </c>
      <c r="BC61" s="6">
        <v>125.36</v>
      </c>
      <c r="BD61" s="6">
        <v>123.26</v>
      </c>
      <c r="BE61" s="6">
        <v>124.72</v>
      </c>
      <c r="BF61" s="6">
        <v>126.71</v>
      </c>
      <c r="BG61" s="6">
        <v>127.16</v>
      </c>
      <c r="BH61" s="6">
        <v>128.58000000000001</v>
      </c>
      <c r="BI61" s="6">
        <v>128.22999999999999</v>
      </c>
      <c r="BJ61" s="6">
        <v>128.13</v>
      </c>
      <c r="BK61" s="6">
        <v>127.99</v>
      </c>
      <c r="BL61" s="6">
        <v>125.89</v>
      </c>
      <c r="BM61" s="6">
        <v>122.81</v>
      </c>
      <c r="BN61">
        <v>121.48</v>
      </c>
      <c r="BO61">
        <v>126.1</v>
      </c>
      <c r="BP61">
        <v>127.53</v>
      </c>
      <c r="BQ61">
        <v>126.07</v>
      </c>
      <c r="BR61">
        <v>126.68</v>
      </c>
      <c r="BS61">
        <v>128.25</v>
      </c>
      <c r="BT61">
        <v>127.68</v>
      </c>
      <c r="BU61">
        <v>126.1</v>
      </c>
      <c r="BV61">
        <v>126.07</v>
      </c>
      <c r="BW61">
        <v>127.15</v>
      </c>
      <c r="BX61">
        <v>126.48</v>
      </c>
      <c r="BY61">
        <v>124.48</v>
      </c>
      <c r="BZ61">
        <v>125.71</v>
      </c>
      <c r="CA61" s="6">
        <v>123.900002</v>
      </c>
      <c r="CB61" s="6">
        <v>121.220001</v>
      </c>
      <c r="CC61" s="6">
        <v>116.480003</v>
      </c>
      <c r="CD61" s="6">
        <v>116.139999</v>
      </c>
      <c r="CE61" s="6">
        <v>111.089996</v>
      </c>
      <c r="CF61" s="6">
        <v>106.650002</v>
      </c>
      <c r="CG61" s="6">
        <v>113.290001</v>
      </c>
      <c r="CH61" s="6">
        <v>107.400002</v>
      </c>
      <c r="CI61" s="6">
        <v>113.510002</v>
      </c>
      <c r="CJ61" s="6">
        <v>113.400002</v>
      </c>
      <c r="CK61" s="6">
        <v>111.75</v>
      </c>
      <c r="CL61" s="6">
        <v>103.25</v>
      </c>
      <c r="CM61" s="6">
        <v>108.959999</v>
      </c>
      <c r="CN61" s="6">
        <v>103.290001</v>
      </c>
      <c r="CO61" s="6">
        <v>91.120002999999997</v>
      </c>
      <c r="CP61" s="6">
        <v>97.489998</v>
      </c>
      <c r="CQ61" s="6">
        <v>101.040001</v>
      </c>
      <c r="CR61" s="6">
        <v>111.510002</v>
      </c>
      <c r="CS61" s="6">
        <v>99.919998000000007</v>
      </c>
      <c r="CT61" s="6">
        <v>98.870002999999997</v>
      </c>
      <c r="CU61" s="6">
        <v>95.639999000000003</v>
      </c>
      <c r="CV61" s="6">
        <v>100.230003</v>
      </c>
      <c r="CW61" s="6">
        <v>105.25</v>
      </c>
      <c r="CX61" s="6">
        <v>99.809997999999993</v>
      </c>
      <c r="CY61" s="6">
        <v>102.269997</v>
      </c>
      <c r="CZ61" s="6">
        <v>104.970001</v>
      </c>
      <c r="DA61" s="6">
        <v>107.650002</v>
      </c>
      <c r="DB61" s="6">
        <v>102.589996</v>
      </c>
    </row>
    <row r="62" spans="1:106">
      <c r="A62" s="3" t="s">
        <v>59</v>
      </c>
      <c r="B62">
        <v>331</v>
      </c>
      <c r="C62" s="6">
        <v>39.17</v>
      </c>
      <c r="D62" s="6">
        <v>39.68</v>
      </c>
      <c r="E62" s="6">
        <v>39.950000000000003</v>
      </c>
      <c r="F62" s="6">
        <v>39.61</v>
      </c>
      <c r="G62" s="6">
        <v>40.19</v>
      </c>
      <c r="H62" s="6">
        <v>40.380000000000003</v>
      </c>
      <c r="I62" s="6">
        <v>39.36</v>
      </c>
      <c r="J62" s="6">
        <v>39.57</v>
      </c>
      <c r="K62" s="6">
        <v>39.76</v>
      </c>
      <c r="L62" s="6">
        <v>39.72</v>
      </c>
      <c r="M62" s="6">
        <v>40.28</v>
      </c>
      <c r="N62" s="6">
        <v>40.72</v>
      </c>
      <c r="O62" s="6">
        <v>40.479999999999997</v>
      </c>
      <c r="P62" s="6">
        <v>41.25</v>
      </c>
      <c r="Q62" s="6">
        <v>40.82</v>
      </c>
      <c r="R62" s="6">
        <v>40.4</v>
      </c>
      <c r="S62" s="6">
        <v>39.72</v>
      </c>
      <c r="T62" s="6">
        <v>40.44</v>
      </c>
      <c r="U62" s="6">
        <v>40.81</v>
      </c>
      <c r="V62" s="6">
        <v>40.93</v>
      </c>
      <c r="W62" s="6">
        <v>40.700000000000003</v>
      </c>
      <c r="X62" s="6">
        <v>39.92</v>
      </c>
      <c r="Y62" s="6">
        <v>39.85</v>
      </c>
      <c r="Z62" s="6">
        <v>40.409999999999997</v>
      </c>
      <c r="AA62" s="6">
        <v>40.590000000000003</v>
      </c>
      <c r="AB62" s="6">
        <v>40.659999999999997</v>
      </c>
      <c r="AC62" s="6">
        <v>40.49</v>
      </c>
      <c r="AD62" s="6">
        <v>40.590000000000003</v>
      </c>
      <c r="AE62" s="6">
        <v>40.950000000000003</v>
      </c>
      <c r="AF62" s="6">
        <v>41.14</v>
      </c>
      <c r="AG62" s="6">
        <v>41.47</v>
      </c>
      <c r="AH62" s="6">
        <v>41.65</v>
      </c>
      <c r="AI62" s="6">
        <v>41.55</v>
      </c>
      <c r="AJ62" s="6">
        <v>41.41</v>
      </c>
      <c r="AK62" s="6">
        <v>41.44</v>
      </c>
      <c r="AL62" s="6">
        <v>42.45</v>
      </c>
      <c r="AM62" s="6">
        <v>42.4</v>
      </c>
      <c r="AN62" s="6">
        <v>42.36</v>
      </c>
      <c r="AO62" s="6">
        <v>42.57</v>
      </c>
      <c r="AP62" s="6">
        <v>42.39</v>
      </c>
      <c r="AQ62" s="6">
        <v>42.12</v>
      </c>
      <c r="AR62" s="6">
        <v>42.17</v>
      </c>
      <c r="AS62" s="6">
        <v>42.66</v>
      </c>
      <c r="AT62" s="6">
        <v>42.46</v>
      </c>
      <c r="AU62" s="6">
        <v>42.62</v>
      </c>
      <c r="AV62" s="6">
        <v>42.61</v>
      </c>
      <c r="AW62" s="6">
        <v>42.74</v>
      </c>
      <c r="AX62" s="6">
        <v>43.36</v>
      </c>
      <c r="AY62" s="6">
        <v>43.49</v>
      </c>
      <c r="AZ62" s="6">
        <v>43.71</v>
      </c>
      <c r="BA62" s="6">
        <v>43.63</v>
      </c>
      <c r="BB62" s="6">
        <v>44.1</v>
      </c>
      <c r="BC62" s="6">
        <v>44.55</v>
      </c>
      <c r="BD62" s="6">
        <v>44.32</v>
      </c>
      <c r="BE62" s="6">
        <v>44.52</v>
      </c>
      <c r="BF62" s="6">
        <v>44.42</v>
      </c>
      <c r="BG62" s="6">
        <v>44.62</v>
      </c>
      <c r="BH62" s="6">
        <v>44.31</v>
      </c>
      <c r="BI62" s="6">
        <v>43.67</v>
      </c>
      <c r="BJ62" s="6">
        <v>44.08</v>
      </c>
      <c r="BK62" s="6">
        <v>44.47</v>
      </c>
      <c r="BL62" s="6">
        <v>44.92</v>
      </c>
      <c r="BM62" s="6">
        <v>44.27</v>
      </c>
      <c r="BN62">
        <v>44.42</v>
      </c>
      <c r="BO62">
        <v>44.74</v>
      </c>
      <c r="BP62">
        <v>44.83</v>
      </c>
      <c r="BQ62">
        <v>44.94</v>
      </c>
      <c r="BR62">
        <v>42.57</v>
      </c>
      <c r="BS62">
        <v>42.31</v>
      </c>
      <c r="BT62">
        <v>42.13</v>
      </c>
      <c r="BU62">
        <v>43.25</v>
      </c>
      <c r="BV62">
        <v>43.52</v>
      </c>
      <c r="BW62">
        <v>43.77</v>
      </c>
      <c r="BX62">
        <v>44</v>
      </c>
      <c r="BY62">
        <v>43.94</v>
      </c>
      <c r="BZ62">
        <v>44.01</v>
      </c>
      <c r="CA62" s="6">
        <v>43.550739</v>
      </c>
      <c r="CB62" s="6">
        <v>43.042014999999999</v>
      </c>
      <c r="CC62" s="6">
        <v>41.545769</v>
      </c>
      <c r="CD62" s="6">
        <v>41.645519</v>
      </c>
      <c r="CE62" s="6">
        <v>39.670475000000003</v>
      </c>
      <c r="CF62" s="6">
        <v>38.363750000000003</v>
      </c>
      <c r="CG62" s="6">
        <v>40.049522000000003</v>
      </c>
      <c r="CH62" s="6">
        <v>38.792675000000003</v>
      </c>
      <c r="CI62" s="6">
        <v>40.478447000000003</v>
      </c>
      <c r="CJ62" s="6">
        <v>38.862499</v>
      </c>
      <c r="CK62" s="6">
        <v>38.139999000000003</v>
      </c>
      <c r="CL62" s="6">
        <v>36</v>
      </c>
      <c r="CM62" s="6">
        <v>37.090000000000003</v>
      </c>
      <c r="CN62" s="6">
        <v>35.959999000000003</v>
      </c>
      <c r="CO62" s="6">
        <v>31.34</v>
      </c>
      <c r="CP62" s="6">
        <v>32.979999999999997</v>
      </c>
      <c r="CQ62" s="6">
        <v>27.1</v>
      </c>
      <c r="CR62" s="6">
        <v>27.200001</v>
      </c>
      <c r="CS62" s="6">
        <v>22.65</v>
      </c>
      <c r="CT62" s="6">
        <v>25.280000999999999</v>
      </c>
      <c r="CU62" s="6">
        <v>25.110001</v>
      </c>
      <c r="CV62" s="6">
        <v>23.700001</v>
      </c>
      <c r="CW62" s="6">
        <v>25.07</v>
      </c>
      <c r="CX62" s="6">
        <v>27.09</v>
      </c>
      <c r="CY62" s="6">
        <v>30.07</v>
      </c>
      <c r="CZ62" s="6">
        <v>28.84</v>
      </c>
      <c r="DA62" s="6">
        <v>28.51</v>
      </c>
      <c r="DB62" s="6">
        <v>29.200001</v>
      </c>
    </row>
    <row r="63" spans="1:106">
      <c r="A63" s="2" t="s">
        <v>60</v>
      </c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</row>
    <row r="64" spans="1:106">
      <c r="A64" s="3" t="s">
        <v>61</v>
      </c>
      <c r="B64">
        <v>125</v>
      </c>
      <c r="C64" s="6">
        <v>238.34</v>
      </c>
      <c r="D64" s="6">
        <v>235.71</v>
      </c>
      <c r="E64" s="6">
        <v>229.6</v>
      </c>
      <c r="F64" s="6">
        <v>227.11</v>
      </c>
      <c r="G64" s="6">
        <v>227.49</v>
      </c>
      <c r="H64" s="6">
        <v>223.09</v>
      </c>
      <c r="I64" s="6">
        <v>222.08</v>
      </c>
      <c r="J64" s="6">
        <v>222.22</v>
      </c>
      <c r="K64" s="6">
        <v>223.22</v>
      </c>
      <c r="L64" s="6">
        <v>227.91</v>
      </c>
      <c r="M64" s="6">
        <v>229.87</v>
      </c>
      <c r="N64" s="6">
        <v>231.42</v>
      </c>
      <c r="O64" s="6">
        <v>232.16</v>
      </c>
      <c r="P64" s="6">
        <v>232.66</v>
      </c>
      <c r="Q64" s="6">
        <v>235.22</v>
      </c>
      <c r="R64" s="6">
        <v>235.14</v>
      </c>
      <c r="S64" s="6">
        <v>233.38</v>
      </c>
      <c r="T64" s="6">
        <v>232.56</v>
      </c>
      <c r="U64" s="6">
        <v>234.92</v>
      </c>
      <c r="V64" s="6">
        <v>233.07</v>
      </c>
      <c r="W64" s="6">
        <v>233.82</v>
      </c>
      <c r="X64" s="6">
        <v>231.25</v>
      </c>
      <c r="Y64" s="6">
        <v>232.23</v>
      </c>
      <c r="Z64" s="6">
        <v>234.26</v>
      </c>
      <c r="AA64" s="6">
        <v>234.56</v>
      </c>
      <c r="AB64" s="6">
        <v>234.39</v>
      </c>
      <c r="AC64" s="6">
        <v>234.27</v>
      </c>
      <c r="AD64" s="6">
        <v>234.45</v>
      </c>
      <c r="AE64" s="6">
        <v>235.78</v>
      </c>
      <c r="AF64" s="6">
        <v>233.9</v>
      </c>
      <c r="AG64" s="6">
        <v>236.95</v>
      </c>
      <c r="AH64" s="6">
        <v>239.47</v>
      </c>
      <c r="AI64" s="6">
        <v>239.82</v>
      </c>
      <c r="AJ64" s="6">
        <v>240.29</v>
      </c>
      <c r="AK64" s="6">
        <v>240.65</v>
      </c>
      <c r="AL64" s="6">
        <v>242.71</v>
      </c>
      <c r="AM64" s="6">
        <v>238.78</v>
      </c>
      <c r="AN64" s="6">
        <v>240.51</v>
      </c>
      <c r="AO64" s="6">
        <v>241.96</v>
      </c>
      <c r="AP64" s="6">
        <v>242.51</v>
      </c>
      <c r="AQ64" s="6">
        <v>241.29</v>
      </c>
      <c r="AR64" s="6">
        <v>242.16</v>
      </c>
      <c r="AS64" s="6">
        <v>238.62</v>
      </c>
      <c r="AT64" s="6">
        <v>240.32</v>
      </c>
      <c r="AU64" s="6">
        <v>241.52</v>
      </c>
      <c r="AV64" s="6">
        <v>241.31</v>
      </c>
      <c r="AW64" s="6">
        <v>241.2</v>
      </c>
      <c r="AX64" s="6">
        <v>243.09</v>
      </c>
      <c r="AY64" s="6">
        <v>243.55</v>
      </c>
      <c r="AZ64" s="6">
        <v>246.4</v>
      </c>
      <c r="BA64" s="6">
        <v>247.73</v>
      </c>
      <c r="BB64" s="6">
        <v>251.58</v>
      </c>
      <c r="BC64" s="6">
        <v>252.27</v>
      </c>
      <c r="BD64" s="6">
        <v>253.4</v>
      </c>
      <c r="BE64" s="6">
        <v>256.89</v>
      </c>
      <c r="BF64" s="6">
        <v>259.89999999999998</v>
      </c>
      <c r="BG64" s="6">
        <v>260.08</v>
      </c>
      <c r="BH64" s="6">
        <v>263.72000000000003</v>
      </c>
      <c r="BI64" s="6">
        <v>266.74</v>
      </c>
      <c r="BJ64" s="6">
        <v>265.81</v>
      </c>
      <c r="BK64" s="6">
        <v>265.76</v>
      </c>
      <c r="BL64" s="6">
        <v>269.93</v>
      </c>
      <c r="BM64" s="6">
        <v>268.2</v>
      </c>
      <c r="BN64">
        <v>266.81</v>
      </c>
      <c r="BO64">
        <v>264.54000000000002</v>
      </c>
      <c r="BP64">
        <v>266.70999999999998</v>
      </c>
      <c r="BQ64">
        <v>268.33</v>
      </c>
      <c r="BR64">
        <v>269.54000000000002</v>
      </c>
      <c r="BS64">
        <v>271.74</v>
      </c>
      <c r="BT64">
        <v>272.14999999999998</v>
      </c>
      <c r="BU64">
        <v>270.26</v>
      </c>
      <c r="BV64">
        <v>275.47000000000003</v>
      </c>
      <c r="BW64">
        <v>278.52</v>
      </c>
      <c r="BX64">
        <v>282.04000000000002</v>
      </c>
      <c r="BY64">
        <v>274.67</v>
      </c>
      <c r="BZ64">
        <v>277.02999999999997</v>
      </c>
      <c r="CA64" s="6">
        <v>276.14779700000003</v>
      </c>
      <c r="CB64" s="6">
        <v>272.51678500000003</v>
      </c>
      <c r="CC64" s="6">
        <v>268.92550699999998</v>
      </c>
      <c r="CD64" s="6">
        <v>268.07000699999998</v>
      </c>
      <c r="CE64" s="6">
        <v>255.85000600000001</v>
      </c>
      <c r="CF64" s="6">
        <v>252.759995</v>
      </c>
      <c r="CG64" s="6">
        <v>268.35000600000001</v>
      </c>
      <c r="CH64" s="6">
        <v>265.14999399999999</v>
      </c>
      <c r="CI64" s="6">
        <v>282.22000100000002</v>
      </c>
      <c r="CJ64" s="6">
        <v>276.16000400000001</v>
      </c>
      <c r="CK64" s="6">
        <v>271.82000699999998</v>
      </c>
      <c r="CL64" s="6">
        <v>261.27999899999998</v>
      </c>
      <c r="CM64" s="6">
        <v>255.729996</v>
      </c>
      <c r="CN64" s="6">
        <v>241.259995</v>
      </c>
      <c r="CO64" s="6">
        <v>208.88999899999999</v>
      </c>
      <c r="CP64" s="6">
        <v>221.55999800000001</v>
      </c>
      <c r="CQ64" s="6">
        <v>201.36999499999999</v>
      </c>
      <c r="CR64" s="6">
        <v>221.759995</v>
      </c>
      <c r="CS64" s="6">
        <v>210.63999899999999</v>
      </c>
      <c r="CT64" s="6">
        <v>207.10000600000001</v>
      </c>
      <c r="CU64" s="6">
        <v>191.75</v>
      </c>
      <c r="CV64" s="6">
        <v>181.66000399999999</v>
      </c>
      <c r="CW64" s="6">
        <v>206.529999</v>
      </c>
      <c r="CX64" s="6">
        <v>210.270004</v>
      </c>
      <c r="CY64" s="6">
        <v>231.10000600000001</v>
      </c>
      <c r="CZ64" s="6">
        <v>231.949997</v>
      </c>
      <c r="DA64" s="6">
        <v>246.009995</v>
      </c>
      <c r="DB64" s="6">
        <v>240.61999499999999</v>
      </c>
    </row>
    <row r="65" spans="1:106">
      <c r="A65" s="3" t="s">
        <v>62</v>
      </c>
      <c r="B65">
        <v>513</v>
      </c>
      <c r="C65" s="6">
        <v>58.37</v>
      </c>
      <c r="D65" s="6">
        <v>58.12</v>
      </c>
      <c r="E65" s="6">
        <v>57.58</v>
      </c>
      <c r="F65" s="6">
        <v>57.27</v>
      </c>
      <c r="G65" s="6">
        <v>57.45</v>
      </c>
      <c r="H65" s="6">
        <v>56.89</v>
      </c>
      <c r="I65" s="6">
        <v>56.96</v>
      </c>
      <c r="J65" s="6">
        <v>56.77</v>
      </c>
      <c r="K65" s="6">
        <v>56.72</v>
      </c>
      <c r="L65" s="6">
        <v>56.99</v>
      </c>
      <c r="M65" s="6">
        <v>57.41</v>
      </c>
      <c r="N65" s="6">
        <v>57.74</v>
      </c>
      <c r="O65" s="6">
        <v>58.43</v>
      </c>
      <c r="P65" s="6">
        <v>58.19</v>
      </c>
      <c r="Q65" s="6">
        <v>57.5</v>
      </c>
      <c r="R65" s="6">
        <v>57.42</v>
      </c>
      <c r="S65" s="6">
        <v>57.8</v>
      </c>
      <c r="T65" s="6">
        <v>58.94</v>
      </c>
      <c r="U65" s="6">
        <v>58.63</v>
      </c>
      <c r="V65" s="6">
        <v>58.3</v>
      </c>
      <c r="W65" s="6">
        <v>57.46</v>
      </c>
      <c r="X65" s="6">
        <v>56.87</v>
      </c>
      <c r="Y65" s="6">
        <v>57</v>
      </c>
      <c r="Z65" s="6">
        <v>57.53</v>
      </c>
      <c r="AA65" s="6">
        <v>58.05</v>
      </c>
      <c r="AB65" s="6">
        <v>58.39</v>
      </c>
      <c r="AC65" s="6">
        <v>58.47</v>
      </c>
      <c r="AD65" s="6">
        <v>58.43</v>
      </c>
      <c r="AE65" s="6">
        <v>59.19</v>
      </c>
      <c r="AF65" s="6">
        <v>58.21</v>
      </c>
      <c r="AG65" s="6">
        <v>61.88</v>
      </c>
      <c r="AH65" s="6">
        <v>62.52</v>
      </c>
      <c r="AI65" s="6">
        <v>62.64</v>
      </c>
      <c r="AJ65" s="6">
        <v>62.46</v>
      </c>
      <c r="AK65" s="6">
        <v>62.27</v>
      </c>
      <c r="AL65" s="6">
        <v>62.65</v>
      </c>
      <c r="AM65" s="6">
        <v>62.46</v>
      </c>
      <c r="AN65" s="6">
        <v>62.43</v>
      </c>
      <c r="AO65" s="6">
        <v>62.64</v>
      </c>
      <c r="AP65" s="6">
        <v>62.92</v>
      </c>
      <c r="AQ65" s="6">
        <v>62.65</v>
      </c>
      <c r="AR65" s="6">
        <v>62.67</v>
      </c>
      <c r="AS65" s="6">
        <v>62.34</v>
      </c>
      <c r="AT65" s="6">
        <v>62.2</v>
      </c>
      <c r="AU65" s="6">
        <v>62.17</v>
      </c>
      <c r="AV65" s="6">
        <v>61.9</v>
      </c>
      <c r="AW65" s="6">
        <v>61.62</v>
      </c>
      <c r="AX65" s="6">
        <v>61.2</v>
      </c>
      <c r="AY65" s="6">
        <v>61.05</v>
      </c>
      <c r="AZ65" s="6">
        <v>61.11</v>
      </c>
      <c r="BA65" s="6">
        <v>61.2</v>
      </c>
      <c r="BB65" s="6">
        <v>62.32</v>
      </c>
      <c r="BC65" s="6">
        <v>62.6</v>
      </c>
      <c r="BD65" s="6">
        <v>63.54</v>
      </c>
      <c r="BE65" s="6">
        <v>64.290000000000006</v>
      </c>
      <c r="BF65" s="6">
        <v>64.98</v>
      </c>
      <c r="BG65" s="6">
        <v>65.33</v>
      </c>
      <c r="BH65" s="6">
        <v>66.290000000000006</v>
      </c>
      <c r="BI65" s="6">
        <v>65.459999999999994</v>
      </c>
      <c r="BJ65" s="6">
        <v>66.06</v>
      </c>
      <c r="BK65" s="6">
        <v>66.3</v>
      </c>
      <c r="BL65" s="6">
        <v>66.7</v>
      </c>
      <c r="BM65" s="6">
        <v>66.28</v>
      </c>
      <c r="BN65">
        <v>65.709999999999994</v>
      </c>
      <c r="BO65">
        <v>65.55</v>
      </c>
      <c r="BP65">
        <v>66.06</v>
      </c>
      <c r="BQ65">
        <v>66.3</v>
      </c>
      <c r="BR65">
        <v>65.959999999999994</v>
      </c>
      <c r="BS65">
        <v>66.3</v>
      </c>
      <c r="BT65">
        <v>66.48</v>
      </c>
      <c r="BU65">
        <v>66.599999999999994</v>
      </c>
      <c r="BV65">
        <v>66.56</v>
      </c>
      <c r="BW65">
        <v>67.38</v>
      </c>
      <c r="BX65">
        <v>68.33</v>
      </c>
      <c r="BY65">
        <v>68.38</v>
      </c>
      <c r="BZ65">
        <v>68.33</v>
      </c>
      <c r="CA65" s="6">
        <v>68.75</v>
      </c>
      <c r="CB65" s="6">
        <v>67.099997999999999</v>
      </c>
      <c r="CC65" s="6">
        <v>66.260002</v>
      </c>
      <c r="CD65" s="6">
        <v>66.75</v>
      </c>
      <c r="CE65" s="6">
        <v>65.470000999999996</v>
      </c>
      <c r="CF65" s="6">
        <v>63.259998000000003</v>
      </c>
      <c r="CG65" s="6">
        <v>64.730002999999996</v>
      </c>
      <c r="CH65" s="6">
        <v>64.069999999999993</v>
      </c>
      <c r="CI65" s="6">
        <v>67.910004000000001</v>
      </c>
      <c r="CJ65" s="6">
        <v>67.589995999999999</v>
      </c>
      <c r="CK65" s="6">
        <v>66.550003000000004</v>
      </c>
      <c r="CL65" s="6">
        <v>62.990001999999997</v>
      </c>
      <c r="CM65" s="6">
        <v>62.080002</v>
      </c>
      <c r="CN65" s="6">
        <v>59.43</v>
      </c>
      <c r="CO65" s="6">
        <v>53.849997999999999</v>
      </c>
      <c r="CP65" s="6">
        <v>55.689999</v>
      </c>
      <c r="CQ65" s="6">
        <v>51.43</v>
      </c>
      <c r="CR65" s="6">
        <v>58.93</v>
      </c>
      <c r="CS65" s="6">
        <v>54.52</v>
      </c>
      <c r="CT65" s="6">
        <v>53.07</v>
      </c>
      <c r="CU65" s="6">
        <v>49.650002000000001</v>
      </c>
      <c r="CV65" s="6">
        <v>45.349997999999999</v>
      </c>
      <c r="CW65" s="6">
        <v>49.549999</v>
      </c>
      <c r="CX65" s="6">
        <v>53.200001</v>
      </c>
      <c r="CY65" s="6">
        <v>57.139999000000003</v>
      </c>
      <c r="CZ65" s="6">
        <v>57.470001000000003</v>
      </c>
      <c r="DA65" s="6">
        <v>59.32</v>
      </c>
      <c r="DB65" s="6">
        <v>58.27</v>
      </c>
    </row>
    <row r="66" spans="1:106">
      <c r="A66" s="3" t="s">
        <v>63</v>
      </c>
      <c r="B66">
        <v>321</v>
      </c>
      <c r="C66" s="6">
        <v>94.26</v>
      </c>
      <c r="D66" s="6">
        <v>94.38</v>
      </c>
      <c r="E66" s="6">
        <v>93.64</v>
      </c>
      <c r="F66" s="6">
        <v>93.15</v>
      </c>
      <c r="G66" s="6">
        <v>93.36</v>
      </c>
      <c r="H66" s="6">
        <v>92.58</v>
      </c>
      <c r="I66" s="6">
        <v>89.95</v>
      </c>
      <c r="J66" s="6">
        <v>87.6</v>
      </c>
      <c r="K66" s="6">
        <v>87.59</v>
      </c>
      <c r="L66" s="6">
        <v>88.53</v>
      </c>
      <c r="M66" s="6">
        <v>88.25</v>
      </c>
      <c r="N66" s="6">
        <v>88.58</v>
      </c>
      <c r="O66" s="6">
        <v>88.65</v>
      </c>
      <c r="P66" s="6">
        <v>87.03</v>
      </c>
      <c r="Q66" s="6">
        <v>87.13</v>
      </c>
      <c r="R66" s="6">
        <v>86.66</v>
      </c>
      <c r="S66" s="6">
        <v>87.14</v>
      </c>
      <c r="T66" s="6">
        <v>87.6</v>
      </c>
      <c r="U66" s="6">
        <v>88.2</v>
      </c>
      <c r="V66" s="6">
        <v>88.56</v>
      </c>
      <c r="W66" s="6">
        <v>88.17</v>
      </c>
      <c r="X66" s="6">
        <v>87.29</v>
      </c>
      <c r="Y66" s="6">
        <v>87.86</v>
      </c>
      <c r="Z66" s="6">
        <v>88.95</v>
      </c>
      <c r="AA66" s="6">
        <v>89.29</v>
      </c>
      <c r="AB66" s="6">
        <v>89.76</v>
      </c>
      <c r="AC66" s="6">
        <v>89.28</v>
      </c>
      <c r="AD66" s="6">
        <v>89.05</v>
      </c>
      <c r="AE66" s="6">
        <v>89</v>
      </c>
      <c r="AF66" s="6">
        <v>89.56</v>
      </c>
      <c r="AG66" s="6">
        <v>90.1</v>
      </c>
      <c r="AH66" s="6">
        <v>90.49</v>
      </c>
      <c r="AI66" s="6">
        <v>90.55</v>
      </c>
      <c r="AJ66" s="6">
        <v>90.61</v>
      </c>
      <c r="AK66" s="6">
        <v>89.95</v>
      </c>
      <c r="AL66" s="6">
        <v>90.62</v>
      </c>
      <c r="AM66" s="6">
        <v>90.15</v>
      </c>
      <c r="AN66" s="6">
        <v>90.23</v>
      </c>
      <c r="AO66" s="6">
        <v>90.39</v>
      </c>
      <c r="AP66" s="6">
        <v>90.97</v>
      </c>
      <c r="AQ66" s="6">
        <v>90.79</v>
      </c>
      <c r="AR66" s="6">
        <v>91.21</v>
      </c>
      <c r="AS66" s="6">
        <v>90.34</v>
      </c>
      <c r="AT66" s="6">
        <v>90.4</v>
      </c>
      <c r="AU66" s="6">
        <v>90.84</v>
      </c>
      <c r="AV66" s="6">
        <v>90.27</v>
      </c>
      <c r="AW66" s="6">
        <v>90.4</v>
      </c>
      <c r="AX66" s="6">
        <v>90.62</v>
      </c>
      <c r="AY66" s="6">
        <v>90.44</v>
      </c>
      <c r="AZ66" s="6">
        <v>91.24</v>
      </c>
      <c r="BA66" s="6">
        <v>91.3</v>
      </c>
      <c r="BB66" s="6">
        <v>92.49</v>
      </c>
      <c r="BC66" s="6">
        <v>93.18</v>
      </c>
      <c r="BD66" s="6">
        <v>93.72</v>
      </c>
      <c r="BE66" s="6">
        <v>94.79</v>
      </c>
      <c r="BF66" s="6">
        <v>95.31</v>
      </c>
      <c r="BG66" s="6">
        <v>96.08</v>
      </c>
      <c r="BH66" s="6">
        <v>96.28</v>
      </c>
      <c r="BI66" s="6">
        <v>96.1</v>
      </c>
      <c r="BJ66" s="6">
        <v>96.21</v>
      </c>
      <c r="BK66" s="6">
        <v>96.75</v>
      </c>
      <c r="BL66" s="6">
        <v>97.47</v>
      </c>
      <c r="BM66" s="6">
        <v>97.63</v>
      </c>
      <c r="BN66">
        <v>97.67</v>
      </c>
      <c r="BO66">
        <v>96.6</v>
      </c>
      <c r="BP66">
        <v>97.14</v>
      </c>
      <c r="BQ66">
        <v>96.93</v>
      </c>
      <c r="BR66">
        <v>96.27</v>
      </c>
      <c r="BS66">
        <v>96.23</v>
      </c>
      <c r="BT66">
        <v>96.99</v>
      </c>
      <c r="BU66">
        <v>97.92</v>
      </c>
      <c r="BV66">
        <v>100.11</v>
      </c>
      <c r="BW66">
        <v>101.28</v>
      </c>
      <c r="BX66">
        <v>102.02</v>
      </c>
      <c r="BY66">
        <v>101.42</v>
      </c>
      <c r="BZ66">
        <v>101.43</v>
      </c>
      <c r="CA66" s="6">
        <v>102.43</v>
      </c>
      <c r="CB66" s="6">
        <v>102.300003</v>
      </c>
      <c r="CC66" s="6">
        <v>99.269997000000004</v>
      </c>
      <c r="CD66" s="6">
        <v>98.940002000000007</v>
      </c>
      <c r="CE66" s="6">
        <v>94.989998</v>
      </c>
      <c r="CF66" s="6">
        <v>91.699996999999996</v>
      </c>
      <c r="CG66" s="6">
        <v>96.669998000000007</v>
      </c>
      <c r="CH66" s="6">
        <v>95.610000999999997</v>
      </c>
      <c r="CI66" s="6">
        <v>101.650002</v>
      </c>
      <c r="CJ66" s="6">
        <v>100.129997</v>
      </c>
      <c r="CK66" s="6">
        <v>99.050003000000004</v>
      </c>
      <c r="CL66" s="6">
        <v>94.580001999999993</v>
      </c>
      <c r="CM66" s="6">
        <v>95.050003000000004</v>
      </c>
      <c r="CN66" s="6">
        <v>90.940002000000007</v>
      </c>
      <c r="CO66" s="6">
        <v>80.480002999999996</v>
      </c>
      <c r="CP66" s="6">
        <v>85.769997000000004</v>
      </c>
      <c r="CQ66" s="6">
        <v>76.580001999999993</v>
      </c>
      <c r="CR66" s="6">
        <v>86</v>
      </c>
      <c r="CS66" s="6">
        <v>79.279999000000004</v>
      </c>
      <c r="CT66" s="6">
        <v>75.050003000000004</v>
      </c>
      <c r="CU66" s="6">
        <v>68.400002000000001</v>
      </c>
      <c r="CV66" s="6">
        <v>64.150002000000001</v>
      </c>
      <c r="CW66" s="6">
        <v>71.5</v>
      </c>
      <c r="CX66" s="6">
        <v>74.709998999999996</v>
      </c>
      <c r="CY66" s="6">
        <v>81.190002000000007</v>
      </c>
      <c r="CZ66" s="6">
        <v>80.190002000000007</v>
      </c>
      <c r="DA66" s="6">
        <v>83.459998999999996</v>
      </c>
      <c r="DB66" s="6">
        <v>80.879997000000003</v>
      </c>
    </row>
    <row r="68" spans="1:106">
      <c r="A68" s="4" t="s">
        <v>64</v>
      </c>
      <c r="C68" s="5">
        <v>3.72</v>
      </c>
      <c r="D68" s="5">
        <v>3.72</v>
      </c>
      <c r="E68" s="5">
        <v>3.72</v>
      </c>
      <c r="F68" s="5">
        <v>3.72</v>
      </c>
      <c r="G68" s="5">
        <v>3.72</v>
      </c>
      <c r="H68" s="5">
        <v>3.72</v>
      </c>
      <c r="I68" s="5">
        <v>3.72</v>
      </c>
      <c r="J68" s="5">
        <v>3.72</v>
      </c>
      <c r="K68" s="5">
        <v>3.72</v>
      </c>
      <c r="L68" s="5">
        <v>3.72</v>
      </c>
      <c r="M68" s="5">
        <v>3.72</v>
      </c>
      <c r="N68" s="5">
        <v>3.72</v>
      </c>
      <c r="O68" s="5">
        <v>3.72</v>
      </c>
      <c r="P68" s="5">
        <v>3.72</v>
      </c>
      <c r="Q68" s="5">
        <v>3.72</v>
      </c>
      <c r="R68" s="5">
        <v>3.72</v>
      </c>
      <c r="S68" s="5">
        <v>3.72</v>
      </c>
      <c r="T68" s="5">
        <v>3.72</v>
      </c>
      <c r="U68" s="5">
        <v>3.72</v>
      </c>
      <c r="V68" s="5">
        <v>3.72</v>
      </c>
      <c r="W68" s="5">
        <v>3.72</v>
      </c>
      <c r="X68" s="5">
        <v>3.72</v>
      </c>
      <c r="Y68" s="5">
        <v>3.72</v>
      </c>
      <c r="Z68" s="5">
        <v>3.72</v>
      </c>
      <c r="AA68" s="5">
        <v>3.72</v>
      </c>
      <c r="AB68" s="5">
        <v>3.72</v>
      </c>
      <c r="AC68" s="5">
        <v>3.72</v>
      </c>
      <c r="AD68" s="5">
        <v>3.72</v>
      </c>
      <c r="AE68" s="5">
        <v>3.72</v>
      </c>
      <c r="AF68" s="5">
        <v>3.72</v>
      </c>
      <c r="AG68" s="5">
        <v>3.72</v>
      </c>
      <c r="AH68" s="5">
        <v>3.72</v>
      </c>
      <c r="AI68" s="5">
        <v>3.72</v>
      </c>
      <c r="AJ68" s="5">
        <v>3.72</v>
      </c>
      <c r="AK68" s="5">
        <v>3.72</v>
      </c>
      <c r="AL68" s="5">
        <v>3.72</v>
      </c>
      <c r="AM68" s="5">
        <v>3.72</v>
      </c>
      <c r="AN68" s="5">
        <v>3.72</v>
      </c>
      <c r="AO68" s="5">
        <v>3.72</v>
      </c>
      <c r="AP68" s="5">
        <v>3.72</v>
      </c>
      <c r="AQ68" s="5">
        <v>3.72</v>
      </c>
      <c r="AR68" s="5">
        <v>3.72</v>
      </c>
      <c r="AS68" s="5">
        <v>3.72</v>
      </c>
      <c r="AT68" s="5">
        <v>3.72</v>
      </c>
      <c r="AU68" s="5">
        <v>3.72</v>
      </c>
      <c r="AV68" s="5">
        <v>3.72</v>
      </c>
      <c r="AW68" s="5">
        <v>3.72</v>
      </c>
      <c r="AX68" s="5">
        <v>3.72</v>
      </c>
      <c r="AY68" s="5">
        <v>3.72</v>
      </c>
      <c r="AZ68" s="5">
        <v>3.72</v>
      </c>
      <c r="BA68" s="5">
        <v>3.72</v>
      </c>
      <c r="BB68" s="5">
        <v>3.72</v>
      </c>
      <c r="BC68" s="5">
        <v>3.72</v>
      </c>
      <c r="BD68" s="5">
        <v>3.72</v>
      </c>
      <c r="BE68" s="5">
        <v>3.72</v>
      </c>
      <c r="BF68" s="5">
        <v>3.72</v>
      </c>
      <c r="BG68" s="5">
        <v>3.72</v>
      </c>
      <c r="BH68" s="5">
        <v>3.72</v>
      </c>
      <c r="BI68" s="5">
        <v>3.72</v>
      </c>
      <c r="BJ68" s="5">
        <v>3.72</v>
      </c>
      <c r="BK68" s="5">
        <v>3.72</v>
      </c>
      <c r="BL68" s="5">
        <v>3.72</v>
      </c>
      <c r="BM68" s="5">
        <v>3.72</v>
      </c>
      <c r="BN68" s="5">
        <v>3.72</v>
      </c>
      <c r="BO68" s="5">
        <v>3.72</v>
      </c>
      <c r="BP68" s="5">
        <v>3.72</v>
      </c>
      <c r="BQ68" s="5">
        <v>3.72</v>
      </c>
      <c r="BR68" s="5">
        <v>3.72</v>
      </c>
      <c r="BS68" s="5">
        <v>3.72</v>
      </c>
      <c r="BT68" s="5">
        <v>3.72</v>
      </c>
      <c r="BU68" s="5">
        <v>3.72</v>
      </c>
      <c r="BV68" s="5">
        <v>3.72</v>
      </c>
      <c r="BW68" s="5">
        <v>3.72</v>
      </c>
      <c r="BX68" s="5">
        <v>3.72</v>
      </c>
      <c r="BY68" s="5">
        <v>3.72</v>
      </c>
      <c r="BZ68" s="5">
        <v>3.72</v>
      </c>
    </row>
    <row r="70" spans="1:106" s="2" customFormat="1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</row>
    <row r="71" spans="1:106" s="7" customFormat="1"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eight"/>
  <dimension ref="B2:N48"/>
  <sheetViews>
    <sheetView showGridLines="0" topLeftCell="B1" workbookViewId="0">
      <selection activeCell="S14" sqref="S14"/>
    </sheetView>
  </sheetViews>
  <sheetFormatPr baseColWidth="10" defaultColWidth="8.83203125" defaultRowHeight="15"/>
  <cols>
    <col min="2" max="2" width="23.1640625" bestFit="1" customWidth="1"/>
    <col min="3" max="4" width="17.5" bestFit="1" customWidth="1"/>
    <col min="7" max="8" width="17.83203125" bestFit="1" customWidth="1"/>
    <col min="13" max="13" width="10.6640625" bestFit="1" customWidth="1"/>
  </cols>
  <sheetData>
    <row r="2" spans="2:9">
      <c r="B2" s="2" t="s">
        <v>110</v>
      </c>
      <c r="C2" s="16" t="s">
        <v>132</v>
      </c>
      <c r="D2" s="16" t="s">
        <v>69</v>
      </c>
      <c r="E2" s="16" t="s">
        <v>67</v>
      </c>
    </row>
    <row r="3" spans="2:9" ht="32">
      <c r="B3" s="9" t="s">
        <v>78</v>
      </c>
      <c r="C3" s="14">
        <f>C36/$C$48</f>
        <v>9.9994179999999988E-2</v>
      </c>
      <c r="D3" s="14">
        <f t="shared" ref="D3:D13" si="0">D36/$D$48</f>
        <v>0.10003178026723503</v>
      </c>
      <c r="E3" s="14">
        <f t="shared" ref="E3:E13" si="1">H36/100</f>
        <v>0.10502933</v>
      </c>
    </row>
    <row r="4" spans="2:9" ht="32">
      <c r="B4" s="9" t="s">
        <v>79</v>
      </c>
      <c r="C4" s="14">
        <f t="shared" ref="C4:C13" si="2">C37/$C$48</f>
        <v>9.9984039999999982E-2</v>
      </c>
      <c r="D4" s="14">
        <f t="shared" si="0"/>
        <v>0.10065835682247481</v>
      </c>
      <c r="E4" s="14">
        <f t="shared" si="1"/>
        <v>9.9225879999999989E-2</v>
      </c>
    </row>
    <row r="5" spans="2:9" ht="32">
      <c r="B5" s="9" t="s">
        <v>133</v>
      </c>
      <c r="C5" s="14">
        <f t="shared" si="2"/>
        <v>0.11998601999999997</v>
      </c>
      <c r="D5" s="14">
        <f t="shared" si="0"/>
        <v>0.117300844908938</v>
      </c>
      <c r="E5" s="14">
        <f t="shared" si="1"/>
        <v>7.0624880000000001E-2</v>
      </c>
    </row>
    <row r="6" spans="2:9">
      <c r="B6" t="s">
        <v>71</v>
      </c>
      <c r="C6" s="14">
        <f t="shared" si="2"/>
        <v>5.9964709999999991E-2</v>
      </c>
      <c r="D6" s="14">
        <f t="shared" si="0"/>
        <v>5.2207693521697997E-2</v>
      </c>
      <c r="E6" s="14">
        <f t="shared" si="1"/>
        <v>3.7469749999999996E-2</v>
      </c>
    </row>
    <row r="7" spans="2:9">
      <c r="B7" t="s">
        <v>72</v>
      </c>
      <c r="C7" s="14">
        <f t="shared" si="2"/>
        <v>9.9989869999999981E-2</v>
      </c>
      <c r="D7" s="14">
        <f t="shared" si="0"/>
        <v>0.10210787494053145</v>
      </c>
      <c r="E7" s="14">
        <f t="shared" si="1"/>
        <v>0.12476259000000001</v>
      </c>
    </row>
    <row r="8" spans="2:9">
      <c r="B8" t="s">
        <v>73</v>
      </c>
      <c r="C8" s="14">
        <f t="shared" si="2"/>
        <v>0.11999066999999997</v>
      </c>
      <c r="D8" s="14">
        <f t="shared" si="0"/>
        <v>0.12129868750157626</v>
      </c>
      <c r="E8" s="14">
        <f t="shared" si="1"/>
        <v>0.13742367</v>
      </c>
    </row>
    <row r="9" spans="2:9">
      <c r="B9" t="s">
        <v>74</v>
      </c>
      <c r="C9" s="14">
        <f t="shared" si="2"/>
        <v>5.9987769999999996E-2</v>
      </c>
      <c r="D9" s="14">
        <f t="shared" si="0"/>
        <v>5.6585459715952677E-2</v>
      </c>
      <c r="E9" s="14">
        <f t="shared" si="1"/>
        <v>8.9110540000000002E-2</v>
      </c>
    </row>
    <row r="10" spans="2:9" ht="32">
      <c r="B10" s="9" t="s">
        <v>80</v>
      </c>
      <c r="C10" s="14">
        <f t="shared" si="2"/>
        <v>0.13012404999999999</v>
      </c>
      <c r="D10" s="14">
        <f t="shared" si="0"/>
        <v>0.13949011755680349</v>
      </c>
      <c r="E10" s="14">
        <f t="shared" si="1"/>
        <v>0.2462116</v>
      </c>
    </row>
    <row r="11" spans="2:9">
      <c r="B11" t="s">
        <v>75</v>
      </c>
      <c r="C11" s="14">
        <f t="shared" si="2"/>
        <v>5.9988029999999998E-2</v>
      </c>
      <c r="D11" s="14">
        <f t="shared" si="0"/>
        <v>5.8685148911261961E-2</v>
      </c>
      <c r="E11" s="14">
        <f t="shared" si="1"/>
        <v>2.5054850000000004E-2</v>
      </c>
    </row>
    <row r="12" spans="2:9">
      <c r="B12" t="s">
        <v>76</v>
      </c>
      <c r="C12" s="14">
        <f t="shared" si="2"/>
        <v>5.9993169999999992E-2</v>
      </c>
      <c r="D12" s="14">
        <f t="shared" si="0"/>
        <v>6.0323780427556317E-2</v>
      </c>
      <c r="E12" s="14">
        <f t="shared" si="1"/>
        <v>3.0574499999999998E-2</v>
      </c>
    </row>
    <row r="13" spans="2:9">
      <c r="B13" t="s">
        <v>77</v>
      </c>
      <c r="C13" s="14">
        <f t="shared" si="2"/>
        <v>8.9993769999999987E-2</v>
      </c>
      <c r="D13" s="14">
        <f t="shared" si="0"/>
        <v>9.1306933260117101E-2</v>
      </c>
      <c r="E13" s="14">
        <f t="shared" si="1"/>
        <v>3.451241E-2</v>
      </c>
    </row>
    <row r="16" spans="2:9">
      <c r="C16" s="34" t="s">
        <v>115</v>
      </c>
      <c r="D16" s="34"/>
      <c r="E16" s="34"/>
      <c r="G16" s="34" t="s">
        <v>116</v>
      </c>
      <c r="H16" s="34"/>
      <c r="I16" s="34"/>
    </row>
    <row r="17" spans="2:14">
      <c r="C17" s="15" t="s">
        <v>111</v>
      </c>
      <c r="D17" s="15" t="s">
        <v>112</v>
      </c>
      <c r="G17" s="15" t="s">
        <v>111</v>
      </c>
      <c r="H17" s="15" t="s">
        <v>112</v>
      </c>
    </row>
    <row r="18" spans="2:14">
      <c r="B18" s="2" t="s">
        <v>110</v>
      </c>
      <c r="C18" s="16" t="s">
        <v>106</v>
      </c>
      <c r="D18" s="16" t="s">
        <v>106</v>
      </c>
      <c r="E18" s="18" t="s">
        <v>114</v>
      </c>
      <c r="G18" s="16" t="s">
        <v>106</v>
      </c>
      <c r="H18" s="16" t="s">
        <v>106</v>
      </c>
      <c r="I18" s="18" t="s">
        <v>114</v>
      </c>
    </row>
    <row r="19" spans="2:14" ht="16">
      <c r="B19" s="9" t="s">
        <v>108</v>
      </c>
      <c r="C19" s="17">
        <v>0.10005179918593977</v>
      </c>
      <c r="D19" s="17">
        <v>0.1</v>
      </c>
      <c r="E19" s="19">
        <f>+D19-C19</f>
        <v>-5.1799185939768733E-5</v>
      </c>
      <c r="G19" s="17">
        <f>C19</f>
        <v>0.10005179918593977</v>
      </c>
      <c r="H19" s="17">
        <v>9.5000000000000001E-2</v>
      </c>
      <c r="I19" s="19">
        <f>+H19-G19</f>
        <v>-5.0517991859397732E-3</v>
      </c>
    </row>
    <row r="20" spans="2:14" ht="16">
      <c r="B20" s="9" t="s">
        <v>109</v>
      </c>
      <c r="C20" s="17">
        <v>9.9819881884200157E-2</v>
      </c>
      <c r="D20" s="17">
        <v>0.1</v>
      </c>
      <c r="E20" s="19">
        <f t="shared" ref="E20:E29" si="3">+D20-C20</f>
        <v>1.8011811579984882E-4</v>
      </c>
      <c r="G20" s="17">
        <f t="shared" ref="G20:G29" si="4">C20</f>
        <v>9.9819881884200157E-2</v>
      </c>
      <c r="H20" s="17">
        <v>0.1</v>
      </c>
      <c r="I20" s="19">
        <f t="shared" ref="I20:I29" si="5">+H20-G20</f>
        <v>1.8011811579984882E-4</v>
      </c>
    </row>
    <row r="21" spans="2:14">
      <c r="B21" t="s">
        <v>70</v>
      </c>
      <c r="C21" s="17">
        <v>0.11660991845648501</v>
      </c>
      <c r="D21" s="17">
        <v>0.11</v>
      </c>
      <c r="E21" s="19">
        <f t="shared" si="3"/>
        <v>-6.6099184564850089E-3</v>
      </c>
      <c r="G21" s="17">
        <f t="shared" si="4"/>
        <v>0.11660991845648501</v>
      </c>
      <c r="H21" s="17">
        <v>0.115</v>
      </c>
      <c r="I21" s="19">
        <f t="shared" si="5"/>
        <v>-1.6099184564850044E-3</v>
      </c>
    </row>
    <row r="22" spans="2:14">
      <c r="B22" t="s">
        <v>71</v>
      </c>
      <c r="C22" s="17">
        <v>5.5631711929515201E-2</v>
      </c>
      <c r="D22" s="17">
        <v>6.5000000000000002E-2</v>
      </c>
      <c r="E22" s="19">
        <f t="shared" si="3"/>
        <v>9.3682880704848009E-3</v>
      </c>
      <c r="G22" s="17">
        <f t="shared" si="4"/>
        <v>5.5631711929515201E-2</v>
      </c>
      <c r="H22" s="17">
        <v>0.06</v>
      </c>
      <c r="I22" s="19">
        <f t="shared" si="5"/>
        <v>4.3682880704847965E-3</v>
      </c>
      <c r="M22" s="1">
        <v>43881</v>
      </c>
      <c r="N22">
        <f>M22-M23</f>
        <v>112</v>
      </c>
    </row>
    <row r="23" spans="2:14">
      <c r="B23" t="s">
        <v>72</v>
      </c>
      <c r="C23" s="17">
        <v>0.1028586673408558</v>
      </c>
      <c r="D23" s="17">
        <v>0.1</v>
      </c>
      <c r="E23" s="19">
        <f t="shared" si="3"/>
        <v>-2.8586673408557972E-3</v>
      </c>
      <c r="G23" s="17">
        <f t="shared" si="4"/>
        <v>0.1028586673408558</v>
      </c>
      <c r="H23" s="17">
        <v>0.1</v>
      </c>
      <c r="I23" s="19">
        <f t="shared" si="5"/>
        <v>-2.8586673408557972E-3</v>
      </c>
      <c r="M23" s="1">
        <v>43769</v>
      </c>
    </row>
    <row r="24" spans="2:14">
      <c r="B24" t="s">
        <v>73</v>
      </c>
      <c r="C24" s="17">
        <v>0.11940814906076712</v>
      </c>
      <c r="D24" s="17">
        <v>0.11</v>
      </c>
      <c r="E24" s="19">
        <f t="shared" si="3"/>
        <v>-9.4081490607671181E-3</v>
      </c>
      <c r="G24" s="17">
        <f t="shared" si="4"/>
        <v>0.11940814906076712</v>
      </c>
      <c r="H24" s="17">
        <v>0.115</v>
      </c>
      <c r="I24" s="19">
        <f t="shared" si="5"/>
        <v>-4.4081490607671137E-3</v>
      </c>
    </row>
    <row r="25" spans="2:14">
      <c r="B25" t="s">
        <v>74</v>
      </c>
      <c r="C25" s="17">
        <v>5.8935686980687095E-2</v>
      </c>
      <c r="D25" s="17">
        <v>7.0000000000000007E-2</v>
      </c>
      <c r="E25" s="19">
        <f t="shared" si="3"/>
        <v>1.1064313019312912E-2</v>
      </c>
      <c r="G25" s="17">
        <f t="shared" si="4"/>
        <v>5.8935686980687095E-2</v>
      </c>
      <c r="H25" s="17">
        <v>0.06</v>
      </c>
      <c r="I25" s="19">
        <f t="shared" si="5"/>
        <v>1.0643130193129027E-3</v>
      </c>
    </row>
    <row r="26" spans="2:14" ht="16">
      <c r="B26" s="9" t="s">
        <v>113</v>
      </c>
      <c r="C26" s="17">
        <v>0.13858170187320487</v>
      </c>
      <c r="D26" s="17">
        <v>0.13</v>
      </c>
      <c r="E26" s="19">
        <f t="shared" si="3"/>
        <v>-8.5817018732048667E-3</v>
      </c>
      <c r="G26" s="17">
        <f t="shared" si="4"/>
        <v>0.13858170187320487</v>
      </c>
      <c r="H26" s="17">
        <v>0.13</v>
      </c>
      <c r="I26" s="19">
        <f t="shared" si="5"/>
        <v>-8.5817018732048667E-3</v>
      </c>
    </row>
    <row r="27" spans="2:14">
      <c r="B27" t="s">
        <v>75</v>
      </c>
      <c r="C27" s="17">
        <v>5.8526392073273148E-2</v>
      </c>
      <c r="D27" s="17">
        <v>6.5000000000000002E-2</v>
      </c>
      <c r="E27" s="19">
        <f t="shared" si="3"/>
        <v>6.4736079267268543E-3</v>
      </c>
      <c r="G27" s="17">
        <f t="shared" si="4"/>
        <v>5.8526392073273148E-2</v>
      </c>
      <c r="H27" s="17">
        <v>0.06</v>
      </c>
      <c r="I27" s="19">
        <f t="shared" si="5"/>
        <v>1.4736079267268498E-3</v>
      </c>
    </row>
    <row r="28" spans="2:14">
      <c r="B28" t="s">
        <v>76</v>
      </c>
      <c r="C28" s="17">
        <v>5.7352431411738257E-2</v>
      </c>
      <c r="D28" s="17">
        <v>0.06</v>
      </c>
      <c r="E28" s="19">
        <f t="shared" si="3"/>
        <v>2.6475685882617409E-3</v>
      </c>
      <c r="G28" s="17">
        <f t="shared" si="4"/>
        <v>5.7352431411738257E-2</v>
      </c>
      <c r="H28" s="17">
        <v>6.5000000000000002E-2</v>
      </c>
      <c r="I28" s="19">
        <f t="shared" si="5"/>
        <v>7.6475685882617453E-3</v>
      </c>
    </row>
    <row r="29" spans="2:14">
      <c r="B29" t="s">
        <v>77</v>
      </c>
      <c r="C29" s="17">
        <v>9.2220189858586502E-2</v>
      </c>
      <c r="D29" s="17">
        <v>0.09</v>
      </c>
      <c r="E29" s="20">
        <f t="shared" si="3"/>
        <v>-2.2201898585865049E-3</v>
      </c>
      <c r="G29" s="17">
        <f t="shared" si="4"/>
        <v>9.2220189858586502E-2</v>
      </c>
      <c r="H29" s="17">
        <v>0.1</v>
      </c>
      <c r="I29" s="20">
        <f t="shared" si="5"/>
        <v>7.779810141413504E-3</v>
      </c>
    </row>
    <row r="35" spans="2:8">
      <c r="D35" t="s">
        <v>107</v>
      </c>
    </row>
    <row r="36" spans="2:8" ht="32">
      <c r="B36" s="9" t="s">
        <v>78</v>
      </c>
      <c r="C36" s="6">
        <f>Value!C3</f>
        <v>99994.18</v>
      </c>
      <c r="D36" s="6">
        <f>Value!BZ3</f>
        <v>112010.73</v>
      </c>
      <c r="G36">
        <v>10.050000000000001</v>
      </c>
      <c r="H36">
        <v>10.502933000000001</v>
      </c>
    </row>
    <row r="37" spans="2:8" ht="32">
      <c r="B37" s="9" t="s">
        <v>79</v>
      </c>
      <c r="C37" s="6">
        <f>Value!C10</f>
        <v>99984.04</v>
      </c>
      <c r="D37" s="6">
        <f>Value!BZ10</f>
        <v>112712.34</v>
      </c>
      <c r="G37">
        <v>9.6999999999999993</v>
      </c>
      <c r="H37">
        <v>9.9225879999999993</v>
      </c>
    </row>
    <row r="38" spans="2:8">
      <c r="B38" t="s">
        <v>70</v>
      </c>
      <c r="C38" s="6">
        <f>Value!C17</f>
        <v>119986.01999999999</v>
      </c>
      <c r="D38" s="6">
        <f>Value!BZ17</f>
        <v>131347.78999999998</v>
      </c>
      <c r="G38">
        <v>11.58</v>
      </c>
      <c r="H38">
        <v>7.0624880000000001</v>
      </c>
    </row>
    <row r="39" spans="2:8">
      <c r="B39" t="s">
        <v>71</v>
      </c>
      <c r="C39" s="6">
        <f>Value!C23</f>
        <v>59964.71</v>
      </c>
      <c r="D39" s="6">
        <f>Value!BZ23</f>
        <v>58459.64</v>
      </c>
      <c r="G39">
        <v>5.63</v>
      </c>
      <c r="H39">
        <v>3.7469749999999999</v>
      </c>
    </row>
    <row r="40" spans="2:8">
      <c r="B40" t="s">
        <v>72</v>
      </c>
      <c r="C40" s="6">
        <f>Value!C27</f>
        <v>99989.87</v>
      </c>
      <c r="D40" s="6">
        <f>Value!BZ27</f>
        <v>114335.44</v>
      </c>
      <c r="G40">
        <v>10.39</v>
      </c>
      <c r="H40">
        <v>12.476259000000001</v>
      </c>
    </row>
    <row r="41" spans="2:8">
      <c r="B41" t="s">
        <v>73</v>
      </c>
      <c r="C41" s="6">
        <f>Value!C33</f>
        <v>119990.66999999998</v>
      </c>
      <c r="D41" s="6">
        <f>Value!BZ33</f>
        <v>135824.38</v>
      </c>
      <c r="G41">
        <v>12.04</v>
      </c>
      <c r="H41">
        <v>13.742367</v>
      </c>
    </row>
    <row r="42" spans="2:8">
      <c r="B42" t="s">
        <v>74</v>
      </c>
      <c r="C42" s="6">
        <f>Value!C41</f>
        <v>59987.770000000004</v>
      </c>
      <c r="D42" s="6">
        <f>Value!BZ41</f>
        <v>63361.649999999994</v>
      </c>
      <c r="G42">
        <v>5.92</v>
      </c>
      <c r="H42">
        <v>8.911054</v>
      </c>
    </row>
    <row r="43" spans="2:8" ht="32">
      <c r="B43" s="9" t="s">
        <v>80</v>
      </c>
      <c r="C43" s="6">
        <f>Value!C56</f>
        <v>130124.05000000002</v>
      </c>
      <c r="D43" s="6">
        <f>Value!BZ56</f>
        <v>156194.25999999998</v>
      </c>
      <c r="G43">
        <v>14.03</v>
      </c>
      <c r="H43">
        <v>24.62116</v>
      </c>
    </row>
    <row r="44" spans="2:8">
      <c r="B44" t="s">
        <v>75</v>
      </c>
      <c r="C44" s="6">
        <f>Value!C47</f>
        <v>59988.030000000006</v>
      </c>
      <c r="D44" s="6">
        <f>Value!BZ47</f>
        <v>65712.780000000013</v>
      </c>
      <c r="G44">
        <v>5.84</v>
      </c>
      <c r="H44">
        <v>2.5054850000000002</v>
      </c>
    </row>
    <row r="45" spans="2:8">
      <c r="B45" t="s">
        <v>76</v>
      </c>
      <c r="C45" s="6">
        <f>Value!C52</f>
        <v>59993.17</v>
      </c>
      <c r="D45" s="6">
        <f>Value!BZ52</f>
        <v>67547.64</v>
      </c>
      <c r="G45">
        <v>5.72</v>
      </c>
      <c r="H45">
        <v>3.0574499999999998</v>
      </c>
    </row>
    <row r="46" spans="2:8">
      <c r="B46" t="s">
        <v>77</v>
      </c>
      <c r="C46" s="6">
        <f>Value!C63</f>
        <v>89993.77</v>
      </c>
      <c r="D46" s="6">
        <f>Value!BZ63</f>
        <v>102241.07</v>
      </c>
      <c r="G46">
        <v>9.11</v>
      </c>
      <c r="H46">
        <v>3.451241</v>
      </c>
    </row>
    <row r="48" spans="2:8">
      <c r="C48" s="6">
        <f>SUM(C36:C46)+Value!C68</f>
        <v>1000000.0000000001</v>
      </c>
      <c r="D48" s="6">
        <f>SUM(D36:D46)+Value!BZ68</f>
        <v>1119751.44</v>
      </c>
    </row>
  </sheetData>
  <mergeCells count="2">
    <mergeCell ref="G16:I16"/>
    <mergeCell ref="C16:E1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Valuation"/>
  <dimension ref="B2:B98"/>
  <sheetViews>
    <sheetView showGridLines="0" topLeftCell="A91" workbookViewId="0">
      <selection activeCell="B99" sqref="B99"/>
    </sheetView>
  </sheetViews>
  <sheetFormatPr baseColWidth="10" defaultColWidth="8.83203125" defaultRowHeight="15"/>
  <cols>
    <col min="2" max="2" width="9.6640625" bestFit="1" customWidth="1"/>
  </cols>
  <sheetData>
    <row r="2" spans="2:2">
      <c r="B2" s="1">
        <v>43861</v>
      </c>
    </row>
    <row r="98" spans="2:2">
      <c r="B98" t="s">
        <v>81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Communication_Services"/>
  <dimension ref="B2:BP128"/>
  <sheetViews>
    <sheetView showGridLines="0" topLeftCell="A121" zoomScale="85" zoomScaleNormal="85" workbookViewId="0">
      <selection activeCell="H8" sqref="H7:H8"/>
    </sheetView>
  </sheetViews>
  <sheetFormatPr baseColWidth="10" defaultColWidth="8.83203125" defaultRowHeight="15"/>
  <cols>
    <col min="2" max="2" width="26.33203125" bestFit="1" customWidth="1"/>
    <col min="3" max="3" width="10.6640625" bestFit="1" customWidth="1"/>
    <col min="4" max="9" width="9.6640625" bestFit="1" customWidth="1"/>
    <col min="10" max="12" width="10.6640625" bestFit="1" customWidth="1"/>
    <col min="13" max="13" width="25" bestFit="1" customWidth="1"/>
    <col min="14" max="15" width="23" bestFit="1" customWidth="1"/>
    <col min="16" max="20" width="10.6640625" bestFit="1" customWidth="1"/>
    <col min="21" max="21" width="11.1640625" bestFit="1" customWidth="1"/>
    <col min="22" max="23" width="10.6640625" bestFit="1" customWidth="1"/>
    <col min="24" max="29" width="9.6640625" bestFit="1" customWidth="1"/>
    <col min="30" max="44" width="10.6640625" bestFit="1" customWidth="1"/>
    <col min="45" max="50" width="9.5" bestFit="1" customWidth="1"/>
    <col min="51" max="65" width="9.6640625" bestFit="1" customWidth="1"/>
  </cols>
  <sheetData>
    <row r="2" spans="2:65">
      <c r="C2" s="1">
        <v>43769</v>
      </c>
      <c r="D2" s="1">
        <v>43770</v>
      </c>
      <c r="E2" s="1">
        <v>43773</v>
      </c>
      <c r="F2" s="1">
        <v>43774</v>
      </c>
      <c r="G2" s="1">
        <v>43775</v>
      </c>
      <c r="H2" s="1">
        <v>43776</v>
      </c>
      <c r="I2" s="1">
        <v>43777</v>
      </c>
      <c r="J2" s="1">
        <v>43780</v>
      </c>
      <c r="K2" s="1">
        <v>43781</v>
      </c>
      <c r="L2" s="1">
        <v>43782</v>
      </c>
      <c r="M2" s="1">
        <v>43783</v>
      </c>
      <c r="N2" s="1">
        <v>43784</v>
      </c>
      <c r="O2" s="1">
        <v>43787</v>
      </c>
      <c r="P2" s="1">
        <v>43788</v>
      </c>
      <c r="Q2" s="1">
        <v>43789</v>
      </c>
      <c r="R2" s="1">
        <v>43790</v>
      </c>
      <c r="S2" s="1">
        <v>43791</v>
      </c>
      <c r="T2" s="1">
        <v>43794</v>
      </c>
      <c r="U2" s="1">
        <v>43795</v>
      </c>
      <c r="V2" s="1">
        <v>43796</v>
      </c>
      <c r="W2" s="1">
        <v>43798</v>
      </c>
      <c r="X2" s="1">
        <v>43801</v>
      </c>
      <c r="Y2" s="1">
        <v>43802</v>
      </c>
      <c r="Z2" s="1">
        <v>43803</v>
      </c>
      <c r="AA2" s="1">
        <v>43804</v>
      </c>
      <c r="AB2" s="1">
        <v>43805</v>
      </c>
      <c r="AC2" s="1">
        <v>43808</v>
      </c>
      <c r="AD2" s="1">
        <v>43809</v>
      </c>
      <c r="AE2" s="1">
        <v>43810</v>
      </c>
      <c r="AF2" s="1">
        <v>43811</v>
      </c>
      <c r="AG2" s="1">
        <v>43812</v>
      </c>
      <c r="AH2" s="1">
        <v>43815</v>
      </c>
      <c r="AI2" s="1">
        <v>43816</v>
      </c>
      <c r="AJ2" s="1">
        <v>43817</v>
      </c>
      <c r="AK2" s="1">
        <v>43818</v>
      </c>
      <c r="AL2" s="1">
        <v>43819</v>
      </c>
      <c r="AM2" s="1">
        <v>43822</v>
      </c>
      <c r="AN2" s="1">
        <v>43823</v>
      </c>
      <c r="AO2" s="1">
        <v>43825</v>
      </c>
      <c r="AP2" s="1">
        <v>43826</v>
      </c>
      <c r="AQ2" s="1">
        <v>43829</v>
      </c>
      <c r="AR2" s="1">
        <v>43830</v>
      </c>
      <c r="AS2" s="1">
        <v>43832</v>
      </c>
      <c r="AT2" s="1">
        <v>43833</v>
      </c>
      <c r="AU2" s="1">
        <v>43836</v>
      </c>
      <c r="AV2" s="1">
        <v>43837</v>
      </c>
      <c r="AW2" s="1">
        <v>43838</v>
      </c>
      <c r="AX2" s="1">
        <v>43839</v>
      </c>
      <c r="AY2" s="1">
        <v>43840</v>
      </c>
      <c r="AZ2" s="1">
        <v>43843</v>
      </c>
      <c r="BA2" s="1">
        <v>43844</v>
      </c>
      <c r="BB2" s="1">
        <v>43845</v>
      </c>
      <c r="BC2" s="1">
        <v>43846</v>
      </c>
      <c r="BD2" s="1">
        <v>43847</v>
      </c>
      <c r="BE2" s="1">
        <v>43851</v>
      </c>
      <c r="BF2" s="1">
        <v>43852</v>
      </c>
      <c r="BG2" s="1">
        <v>43853</v>
      </c>
      <c r="BH2" s="1">
        <v>43854</v>
      </c>
      <c r="BI2" s="1">
        <v>43857</v>
      </c>
      <c r="BJ2" s="1">
        <v>43858</v>
      </c>
      <c r="BK2" s="1">
        <v>43859</v>
      </c>
      <c r="BL2" s="1">
        <v>43860</v>
      </c>
      <c r="BM2" s="1">
        <v>43861</v>
      </c>
    </row>
    <row r="3" spans="2:65">
      <c r="B3" t="s">
        <v>0</v>
      </c>
      <c r="C3" s="6">
        <f>SUM(Value!C4:C9)</f>
        <v>99994.18</v>
      </c>
      <c r="D3" s="6">
        <f>SUM(Value!D4:D9)</f>
        <v>100898.47</v>
      </c>
      <c r="E3" s="6">
        <f>SUM(Value!E4:E9)</f>
        <v>101111.13</v>
      </c>
      <c r="F3" s="6">
        <f>SUM(Value!F4:F9)</f>
        <v>100593.94</v>
      </c>
      <c r="G3" s="6">
        <f>SUM(Value!G4:G9)</f>
        <v>100248.51</v>
      </c>
      <c r="H3" s="6">
        <f>SUM(Value!H4:H9)</f>
        <v>100662.13</v>
      </c>
      <c r="I3" s="6">
        <f>SUM(Value!I4:I9)</f>
        <v>101155.6</v>
      </c>
      <c r="J3" s="6">
        <f>SUM(Value!J4:J9)</f>
        <v>100102.91</v>
      </c>
      <c r="K3" s="6">
        <f>SUM(Value!K4:K9)</f>
        <v>100548.23000000001</v>
      </c>
      <c r="L3" s="6">
        <f>SUM(Value!L4:L9)</f>
        <v>101701.05</v>
      </c>
      <c r="M3" s="6">
        <f>SUM(Value!M4:M9)</f>
        <v>101963.77000000002</v>
      </c>
      <c r="N3" s="6">
        <f>SUM(Value!N4:N9)</f>
        <v>102890.17</v>
      </c>
      <c r="O3" s="6">
        <f>SUM(Value!O4:O9)</f>
        <v>103156.61000000002</v>
      </c>
      <c r="P3" s="6">
        <f>SUM(Value!P4:P9)</f>
        <v>103116.75</v>
      </c>
      <c r="Q3" s="6">
        <f>SUM(Value!Q4:Q9)</f>
        <v>102303.465</v>
      </c>
      <c r="R3" s="6">
        <f>SUM(Value!R4:R9)</f>
        <v>102241.23</v>
      </c>
      <c r="S3" s="6">
        <f>SUM(Value!S4:S9)</f>
        <v>102183.95000000001</v>
      </c>
      <c r="T3" s="6">
        <f>SUM(Value!T4:T9)</f>
        <v>102687.6</v>
      </c>
      <c r="U3" s="6">
        <f>SUM(Value!U4:U9)</f>
        <v>103317.45</v>
      </c>
      <c r="V3" s="6">
        <f>SUM(Value!V4:V9)</f>
        <v>103710.39</v>
      </c>
      <c r="W3" s="6">
        <f>SUM(Value!W4:W9)</f>
        <v>103571.28</v>
      </c>
      <c r="X3" s="6">
        <f>SUM(Value!X4:X9)</f>
        <v>102415.85</v>
      </c>
      <c r="Y3" s="6">
        <f>SUM(Value!Y4:Y9)</f>
        <v>102356.01999999999</v>
      </c>
      <c r="Z3" s="6">
        <f>SUM(Value!Z4:Z9)</f>
        <v>102776.44</v>
      </c>
      <c r="AA3" s="6">
        <f>SUM(Value!AA4:AA9)</f>
        <v>103274.68000000001</v>
      </c>
      <c r="AB3" s="6">
        <f>SUM(Value!AB4:AB9)</f>
        <v>103782.92000000001</v>
      </c>
      <c r="AC3" s="6">
        <f>SUM(Value!AC4:AC9)</f>
        <v>103459.51000000001</v>
      </c>
      <c r="AD3" s="6">
        <f>SUM(Value!AD4:AD9)</f>
        <v>103882.47</v>
      </c>
      <c r="AE3" s="6">
        <f>SUM(Value!AE4:AE9)</f>
        <v>104459.31000000001</v>
      </c>
      <c r="AF3" s="6">
        <f>SUM(Value!AF4:AF9)</f>
        <v>104677.7</v>
      </c>
      <c r="AG3" s="6">
        <f>SUM(Value!AG4:AG9)</f>
        <v>104642.18</v>
      </c>
      <c r="AH3" s="6">
        <f>SUM(Value!AH4:AH9)</f>
        <v>105732.1</v>
      </c>
      <c r="AI3" s="6">
        <f>SUM(Value!AI4:AI9)</f>
        <v>105251.06</v>
      </c>
      <c r="AJ3" s="6">
        <f>SUM(Value!AJ4:AJ9)</f>
        <v>105736.78999999998</v>
      </c>
      <c r="AK3" s="6">
        <f>SUM(Value!AK4:AK9)</f>
        <v>107218.09000000001</v>
      </c>
      <c r="AL3" s="6">
        <f>SUM(Value!AL4:AL9)</f>
        <v>107674.49</v>
      </c>
      <c r="AM3" s="6">
        <f>SUM(Value!AM4:AM9)</f>
        <v>107335.89</v>
      </c>
      <c r="AN3" s="6">
        <f>SUM(Value!AN4:AN9)</f>
        <v>107220.39</v>
      </c>
      <c r="AO3" s="6">
        <f>SUM(Value!AO4:AO9)</f>
        <v>108275.08</v>
      </c>
      <c r="AP3" s="6">
        <f>SUM(Value!AP4:AP9)</f>
        <v>108466.545</v>
      </c>
      <c r="AQ3" s="6">
        <f>SUM(Value!AQ4:AQ9)</f>
        <v>107216.76000000001</v>
      </c>
      <c r="AR3" s="6">
        <f>SUM(Value!AR4:AR9)</f>
        <v>107416.22</v>
      </c>
      <c r="AS3" s="6">
        <f>SUM(Value!AS4:AS9)</f>
        <v>109029.31</v>
      </c>
      <c r="AT3" s="6">
        <f>SUM(Value!AT4:AT9)</f>
        <v>108596.97</v>
      </c>
      <c r="AU3" s="6">
        <f>SUM(Value!AU4:AU9)</f>
        <v>110072.54</v>
      </c>
      <c r="AV3" s="6">
        <f>SUM(Value!AV4:AV9)</f>
        <v>110184.745</v>
      </c>
      <c r="AW3" s="6">
        <f>SUM(Value!AW4:AW9)</f>
        <v>110702.29000000001</v>
      </c>
      <c r="AX3" s="6">
        <f>SUM(Value!AX4:AX9)</f>
        <v>111112.29999999999</v>
      </c>
      <c r="AY3" s="6">
        <f>SUM(Value!AY4:AY9)</f>
        <v>111322.92000000001</v>
      </c>
      <c r="AZ3" s="6">
        <f>SUM(Value!AZ4:AZ9)</f>
        <v>112225.83</v>
      </c>
      <c r="BA3" s="6">
        <f>SUM(Value!BA4:BA9)</f>
        <v>112099.35</v>
      </c>
      <c r="BB3" s="6">
        <f>SUM(Value!BB4:BB9)</f>
        <v>112459.61</v>
      </c>
      <c r="BC3" s="6">
        <f>SUM(Value!BC4:BC9)</f>
        <v>113328.44000000002</v>
      </c>
      <c r="BD3" s="6">
        <f>SUM(Value!BD4:BD9)</f>
        <v>114051.91</v>
      </c>
      <c r="BE3" s="6">
        <f>SUM(Value!BE4:BE9)</f>
        <v>113828.23</v>
      </c>
      <c r="BF3" s="6">
        <f>SUM(Value!BF4:BF9)</f>
        <v>113723.38</v>
      </c>
      <c r="BG3" s="6">
        <f>SUM(Value!BG4:BG9)</f>
        <v>113040.17</v>
      </c>
      <c r="BH3" s="6">
        <f>SUM(Value!BH4:BH9)</f>
        <v>111505.95</v>
      </c>
      <c r="BI3" s="6">
        <f>SUM(Value!BI4:BI9)</f>
        <v>109372.86</v>
      </c>
      <c r="BJ3" s="6">
        <f>SUM(Value!BJ4:BJ9)</f>
        <v>110874.28</v>
      </c>
      <c r="BK3" s="6">
        <f>SUM(Value!BK4:BK9)</f>
        <v>110568.29</v>
      </c>
      <c r="BL3" s="6">
        <f>SUM(Value!BL4:BL9)</f>
        <v>109520.72</v>
      </c>
      <c r="BM3" s="6">
        <f>SUM(Value!BM4:BM9)</f>
        <v>107261.85</v>
      </c>
    </row>
    <row r="4" spans="2:65">
      <c r="B4" t="s">
        <v>82</v>
      </c>
      <c r="C4">
        <v>171.82</v>
      </c>
      <c r="D4">
        <v>173.25</v>
      </c>
      <c r="E4">
        <v>173.95</v>
      </c>
      <c r="F4">
        <v>173.83</v>
      </c>
      <c r="G4">
        <v>173.48</v>
      </c>
      <c r="H4">
        <v>174.64</v>
      </c>
      <c r="I4">
        <v>175.28</v>
      </c>
      <c r="J4">
        <v>174.59</v>
      </c>
      <c r="K4">
        <v>175.11</v>
      </c>
      <c r="L4">
        <v>175.85</v>
      </c>
      <c r="M4">
        <v>176.38</v>
      </c>
      <c r="N4">
        <v>177.63</v>
      </c>
      <c r="O4">
        <v>178.12</v>
      </c>
      <c r="P4">
        <v>177.66</v>
      </c>
      <c r="Q4">
        <v>176.25</v>
      </c>
      <c r="R4">
        <v>176.69</v>
      </c>
      <c r="S4">
        <v>176.92</v>
      </c>
      <c r="T4">
        <v>177.13</v>
      </c>
      <c r="U4">
        <v>177.77</v>
      </c>
      <c r="V4">
        <v>178.89</v>
      </c>
      <c r="W4">
        <v>178.24</v>
      </c>
      <c r="X4">
        <v>176.69</v>
      </c>
      <c r="Y4">
        <v>176.54</v>
      </c>
      <c r="Z4">
        <v>177.67</v>
      </c>
      <c r="AA4">
        <v>178.36</v>
      </c>
      <c r="AB4">
        <v>179.48</v>
      </c>
      <c r="AC4">
        <v>178.96</v>
      </c>
      <c r="AD4">
        <v>178.32</v>
      </c>
      <c r="AE4">
        <v>178.86</v>
      </c>
      <c r="AF4">
        <v>178.85</v>
      </c>
      <c r="AG4">
        <v>178.27</v>
      </c>
      <c r="AH4">
        <v>180.12</v>
      </c>
      <c r="AI4">
        <v>180.14</v>
      </c>
      <c r="AJ4">
        <v>180.67</v>
      </c>
      <c r="AK4">
        <v>182.1</v>
      </c>
      <c r="AL4">
        <v>182.8</v>
      </c>
      <c r="AM4">
        <v>182.18</v>
      </c>
      <c r="AN4">
        <v>181.94</v>
      </c>
      <c r="AO4">
        <v>183.42</v>
      </c>
      <c r="AP4">
        <v>183.16</v>
      </c>
      <c r="AQ4">
        <v>181.28</v>
      </c>
      <c r="AR4">
        <v>181.64</v>
      </c>
      <c r="AS4">
        <v>184.03</v>
      </c>
      <c r="AT4">
        <v>183.01</v>
      </c>
      <c r="AU4">
        <v>185.24</v>
      </c>
      <c r="AV4">
        <v>185.17</v>
      </c>
      <c r="AW4">
        <v>186.44</v>
      </c>
      <c r="AX4">
        <v>186.92</v>
      </c>
      <c r="AY4">
        <v>186.63</v>
      </c>
      <c r="AZ4">
        <v>188.08</v>
      </c>
      <c r="BA4">
        <v>187.52</v>
      </c>
      <c r="BB4">
        <v>188.15</v>
      </c>
      <c r="BC4">
        <v>189.4</v>
      </c>
      <c r="BD4">
        <v>191.1</v>
      </c>
      <c r="BE4">
        <v>191.01</v>
      </c>
      <c r="BF4">
        <v>191.12</v>
      </c>
      <c r="BG4">
        <v>190.47</v>
      </c>
      <c r="BH4">
        <v>188.48</v>
      </c>
      <c r="BI4">
        <v>185.29</v>
      </c>
      <c r="BJ4">
        <v>187.48</v>
      </c>
      <c r="BK4">
        <v>186.67</v>
      </c>
      <c r="BL4">
        <v>185.19</v>
      </c>
      <c r="BM4">
        <v>182.84</v>
      </c>
    </row>
    <row r="5" spans="2:65">
      <c r="B5" t="s">
        <v>68</v>
      </c>
      <c r="C5">
        <v>3037.56</v>
      </c>
      <c r="D5">
        <v>3066.91</v>
      </c>
      <c r="E5">
        <v>3078.27</v>
      </c>
      <c r="F5">
        <v>3074.62</v>
      </c>
      <c r="G5">
        <v>3076.78</v>
      </c>
      <c r="H5">
        <v>3085.18</v>
      </c>
      <c r="I5">
        <v>3093.08</v>
      </c>
      <c r="J5">
        <v>3087.01</v>
      </c>
      <c r="K5">
        <v>3091.84</v>
      </c>
      <c r="L5">
        <v>3094.04</v>
      </c>
      <c r="M5">
        <v>3096.63</v>
      </c>
      <c r="N5">
        <v>3120.46</v>
      </c>
      <c r="O5">
        <v>3122.03</v>
      </c>
      <c r="P5">
        <v>3120.18</v>
      </c>
      <c r="Q5">
        <v>3108.46</v>
      </c>
      <c r="R5">
        <v>3103.54</v>
      </c>
      <c r="S5">
        <v>3110.29</v>
      </c>
      <c r="T5">
        <v>3133.64</v>
      </c>
      <c r="U5">
        <v>3140.52</v>
      </c>
      <c r="V5">
        <v>3153.63</v>
      </c>
      <c r="W5">
        <v>3140.98</v>
      </c>
      <c r="X5">
        <v>3113.87</v>
      </c>
      <c r="Y5">
        <v>3093.2</v>
      </c>
      <c r="Z5">
        <v>3112.76</v>
      </c>
      <c r="AA5">
        <v>3117.43</v>
      </c>
      <c r="AB5">
        <v>3145.91</v>
      </c>
      <c r="AC5">
        <v>3135.96</v>
      </c>
      <c r="AD5">
        <v>3132.52</v>
      </c>
      <c r="AE5">
        <v>3141.63</v>
      </c>
      <c r="AF5">
        <v>3168.57</v>
      </c>
      <c r="AG5">
        <v>3168.8</v>
      </c>
      <c r="AH5">
        <v>3191.45</v>
      </c>
      <c r="AI5">
        <v>3192.52</v>
      </c>
      <c r="AJ5">
        <v>3191.14</v>
      </c>
      <c r="AK5">
        <v>3205.37</v>
      </c>
      <c r="AL5">
        <v>3221.22</v>
      </c>
      <c r="AM5">
        <v>3224.01</v>
      </c>
      <c r="AN5">
        <v>3223.38</v>
      </c>
      <c r="AO5">
        <v>3239.91</v>
      </c>
      <c r="AP5">
        <v>3240.02</v>
      </c>
      <c r="AQ5">
        <v>3221.29</v>
      </c>
      <c r="AR5">
        <v>3230.78</v>
      </c>
      <c r="AS5">
        <v>3257.85</v>
      </c>
      <c r="AT5">
        <v>3234.85</v>
      </c>
      <c r="AU5">
        <v>3246.28</v>
      </c>
      <c r="AV5">
        <v>3237.18</v>
      </c>
      <c r="AW5">
        <v>3253.05</v>
      </c>
      <c r="AX5">
        <v>3274.7</v>
      </c>
      <c r="AY5">
        <v>3265.35</v>
      </c>
      <c r="AZ5">
        <v>3288.13</v>
      </c>
      <c r="BA5">
        <v>3283.15</v>
      </c>
      <c r="BB5">
        <v>3289.29</v>
      </c>
      <c r="BC5">
        <v>3316.81</v>
      </c>
      <c r="BD5">
        <v>3329.62</v>
      </c>
      <c r="BE5">
        <v>3320.79</v>
      </c>
      <c r="BF5">
        <v>3321.75</v>
      </c>
      <c r="BG5">
        <v>3325.54</v>
      </c>
      <c r="BH5">
        <v>3295.47</v>
      </c>
      <c r="BI5">
        <v>3243.63</v>
      </c>
      <c r="BJ5">
        <v>3276.24</v>
      </c>
      <c r="BK5">
        <v>3273.4</v>
      </c>
      <c r="BL5">
        <v>3283.66</v>
      </c>
      <c r="BM5">
        <v>3225.52</v>
      </c>
    </row>
    <row r="6" spans="2:65">
      <c r="B6" s="3" t="s">
        <v>128</v>
      </c>
      <c r="C6">
        <f>HLOOKUP(C2,Prices!$C$2:$BM$9,3,TRUE)</f>
        <v>191.65</v>
      </c>
      <c r="D6">
        <f>HLOOKUP(D2,Prices!$C$2:$BM$9,3,TRUE)</f>
        <v>193.62</v>
      </c>
      <c r="E6">
        <f>HLOOKUP(E2,Prices!$C$2:$BM$9,3,TRUE)</f>
        <v>194.72</v>
      </c>
      <c r="F6">
        <f>HLOOKUP(F2,Prices!$C$2:$BM$9,3,TRUE)</f>
        <v>194.32</v>
      </c>
      <c r="G6">
        <f>HLOOKUP(G2,Prices!$C$2:$BM$9,3,TRUE)</f>
        <v>191.55</v>
      </c>
      <c r="H6">
        <f>HLOOKUP(H2,Prices!$C$2:$BM$9,3,TRUE)</f>
        <v>190.42</v>
      </c>
      <c r="I6">
        <f>HLOOKUP(I2,Prices!$C$2:$BM$9,3,TRUE)</f>
        <v>190.84</v>
      </c>
      <c r="J6">
        <f>HLOOKUP(J2,Prices!$C$2:$BM$9,3,TRUE)</f>
        <v>189.61</v>
      </c>
      <c r="K6">
        <f>HLOOKUP(K2,Prices!$C$2:$BM$9,3,TRUE)</f>
        <v>194.47</v>
      </c>
      <c r="L6">
        <f>HLOOKUP(L2,Prices!$C$2:$BM$9,3,TRUE)</f>
        <v>193.19</v>
      </c>
      <c r="M6">
        <f>HLOOKUP(M2,Prices!$C$2:$BM$9,3,TRUE)</f>
        <v>193.15</v>
      </c>
      <c r="N6">
        <f>HLOOKUP(N2,Prices!$C$2:$BM$9,3,TRUE)</f>
        <v>195.1</v>
      </c>
      <c r="O6">
        <f>HLOOKUP(O2,Prices!$C$2:$BM$9,3,TRUE)</f>
        <v>197.4</v>
      </c>
      <c r="P6">
        <f>HLOOKUP(P2,Prices!$C$2:$BM$9,3,TRUE)</f>
        <v>199.32</v>
      </c>
      <c r="Q6">
        <f>HLOOKUP(Q2,Prices!$C$2:$BM$9,3,TRUE)</f>
        <v>197.51</v>
      </c>
      <c r="R6">
        <f>HLOOKUP(R2,Prices!$C$2:$BM$9,3,TRUE)</f>
        <v>197.93</v>
      </c>
      <c r="S6">
        <f>HLOOKUP(S2,Prices!$C$2:$BM$9,3,TRUE)</f>
        <v>198.82</v>
      </c>
      <c r="T6">
        <f>HLOOKUP(T2,Prices!$C$2:$BM$9,3,TRUE)</f>
        <v>199.79</v>
      </c>
      <c r="U6">
        <f>HLOOKUP(U2,Prices!$C$2:$BM$9,3,TRUE)</f>
        <v>198.97</v>
      </c>
      <c r="V6">
        <f>HLOOKUP(V2,Prices!$C$2:$BM$9,3,TRUE)</f>
        <v>202</v>
      </c>
      <c r="W6">
        <f>HLOOKUP(W2,Prices!$C$2:$BM$9,3,TRUE)</f>
        <v>201.64</v>
      </c>
      <c r="X6">
        <f>HLOOKUP(X2,Prices!$C$2:$BM$9,3,TRUE)</f>
        <v>199.7</v>
      </c>
      <c r="Y6">
        <f>HLOOKUP(Y2,Prices!$C$2:$BM$9,3,TRUE)</f>
        <v>198.82</v>
      </c>
      <c r="Z6">
        <f>HLOOKUP(Z2,Prices!$C$2:$BM$9,3,TRUE)</f>
        <v>198.71</v>
      </c>
      <c r="AA6">
        <f>HLOOKUP(AA2,Prices!$C$2:$BM$9,3,TRUE)</f>
        <v>199.36</v>
      </c>
      <c r="AB6">
        <f>HLOOKUP(AB2,Prices!$C$2:$BM$9,3,TRUE)</f>
        <v>201.05</v>
      </c>
      <c r="AC6">
        <f>HLOOKUP(AC2,Prices!$C$2:$BM$9,3,TRUE)</f>
        <v>201.34</v>
      </c>
      <c r="AD6">
        <f>HLOOKUP(AD2,Prices!$C$2:$BM$9,3,TRUE)</f>
        <v>200.87</v>
      </c>
      <c r="AE6">
        <f>HLOOKUP(AE2,Prices!$C$2:$BM$9,3,TRUE)</f>
        <v>202.26</v>
      </c>
      <c r="AF6">
        <f>HLOOKUP(AF2,Prices!$C$2:$BM$9,3,TRUE)</f>
        <v>196.75</v>
      </c>
      <c r="AG6">
        <f>HLOOKUP(AG2,Prices!$C$2:$BM$9,3,TRUE)</f>
        <v>194.11</v>
      </c>
      <c r="AH6">
        <f>HLOOKUP(AH2,Prices!$C$2:$BM$9,3,TRUE)</f>
        <v>197.92</v>
      </c>
      <c r="AI6">
        <f>HLOOKUP(AI2,Prices!$C$2:$BM$9,3,TRUE)</f>
        <v>198.39</v>
      </c>
      <c r="AJ6">
        <f>HLOOKUP(AJ2,Prices!$C$2:$BM$9,3,TRUE)</f>
        <v>202.5</v>
      </c>
      <c r="AK6">
        <f>HLOOKUP(AK2,Prices!$C$2:$BM$9,3,TRUE)</f>
        <v>206.06</v>
      </c>
      <c r="AL6">
        <f>HLOOKUP(AL2,Prices!$C$2:$BM$9,3,TRUE)</f>
        <v>206.3</v>
      </c>
      <c r="AM6">
        <f>HLOOKUP(AM2,Prices!$C$2:$BM$9,3,TRUE)</f>
        <v>206.18</v>
      </c>
      <c r="AN6">
        <f>HLOOKUP(AN2,Prices!$C$2:$BM$9,3,TRUE)</f>
        <v>205.12</v>
      </c>
      <c r="AO6">
        <f>HLOOKUP(AO2,Prices!$C$2:$BM$9,3,TRUE)</f>
        <v>207.79</v>
      </c>
      <c r="AP6">
        <f>HLOOKUP(AP2,Prices!$C$2:$BM$9,3,TRUE)</f>
        <v>208.1</v>
      </c>
      <c r="AQ6">
        <f>HLOOKUP(AQ2,Prices!$C$2:$BM$9,3,TRUE)</f>
        <v>204.41</v>
      </c>
      <c r="AR6">
        <f>HLOOKUP(AR2,Prices!$C$2:$BM$9,3,TRUE)</f>
        <v>205.25</v>
      </c>
      <c r="AS6">
        <f>HLOOKUP(AS2,Prices!$C$2:$BM$9,3,TRUE)</f>
        <v>209.78</v>
      </c>
      <c r="AT6">
        <f>HLOOKUP(AT2,Prices!$C$2:$BM$9,3,TRUE)</f>
        <v>208.67</v>
      </c>
      <c r="AU6">
        <f>HLOOKUP(AU2,Prices!$C$2:$BM$9,3,TRUE)</f>
        <v>212.6</v>
      </c>
      <c r="AV6">
        <f>HLOOKUP(AV2,Prices!$C$2:$BM$9,3,TRUE)</f>
        <v>213.06</v>
      </c>
      <c r="AW6">
        <f>HLOOKUP(AW2,Prices!$C$2:$BM$9,3,TRUE)</f>
        <v>215.22</v>
      </c>
      <c r="AX6">
        <f>HLOOKUP(AX2,Prices!$C$2:$BM$9,3,TRUE)</f>
        <v>218.3</v>
      </c>
      <c r="AY6">
        <f>HLOOKUP(AY2,Prices!$C$2:$BM$9,3,TRUE)</f>
        <v>218.06</v>
      </c>
      <c r="AZ6">
        <f>HLOOKUP(AZ2,Prices!$C$2:$BM$9,3,TRUE)</f>
        <v>221.91</v>
      </c>
      <c r="BA6">
        <f>HLOOKUP(BA2,Prices!$C$2:$BM$9,3,TRUE)</f>
        <v>219.06</v>
      </c>
      <c r="BB6">
        <f>HLOOKUP(BB2,Prices!$C$2:$BM$9,3,TRUE)</f>
        <v>221.15</v>
      </c>
      <c r="BC6">
        <f>HLOOKUP(BC2,Prices!$C$2:$BM$9,3,TRUE)</f>
        <v>221.77</v>
      </c>
      <c r="BD6">
        <f>HLOOKUP(BD2,Prices!$C$2:$BM$9,3,TRUE)</f>
        <v>222.14</v>
      </c>
      <c r="BE6">
        <f>HLOOKUP(BE2,Prices!$C$2:$BM$9,3,TRUE)</f>
        <v>221.44</v>
      </c>
      <c r="BF6">
        <f>HLOOKUP(BF2,Prices!$C$2:$BM$9,3,TRUE)</f>
        <v>221.32</v>
      </c>
      <c r="BG6">
        <f>HLOOKUP(BG2,Prices!$C$2:$BM$9,3,TRUE)</f>
        <v>219.76</v>
      </c>
      <c r="BH6">
        <f>HLOOKUP(BH2,Prices!$C$2:$BM$9,3,TRUE)</f>
        <v>217.94</v>
      </c>
      <c r="BI6">
        <f>HLOOKUP(BI2,Prices!$C$2:$BM$9,3,TRUE)</f>
        <v>214.87</v>
      </c>
      <c r="BJ6">
        <f>HLOOKUP(BJ2,Prices!$C$2:$BM$9,3,TRUE)</f>
        <v>217.79</v>
      </c>
      <c r="BK6">
        <f>HLOOKUP(BK2,Prices!$C$2:$BM$9,3,TRUE)</f>
        <v>223.23</v>
      </c>
      <c r="BL6">
        <f>HLOOKUP(BL2,Prices!$C$2:$BM$9,3,TRUE)</f>
        <v>209.53</v>
      </c>
      <c r="BM6">
        <f>HLOOKUP(BM2,Prices!$C$2:$BM$9,3,TRUE)</f>
        <v>201.91</v>
      </c>
    </row>
    <row r="7" spans="2:65">
      <c r="B7" s="3" t="s">
        <v>120</v>
      </c>
      <c r="C7">
        <f>HLOOKUP(C2,Prices!$C$2:$BM$9,4,TRUE)</f>
        <v>72.989999999999995</v>
      </c>
      <c r="D7">
        <f>HLOOKUP(D2,Prices!$C$2:$BM$9,4,TRUE)</f>
        <v>73</v>
      </c>
      <c r="E7">
        <f>HLOOKUP(E2,Prices!$C$2:$BM$9,4,TRUE)</f>
        <v>71.209999999999994</v>
      </c>
      <c r="F7">
        <f>HLOOKUP(F2,Prices!$C$2:$BM$9,4,TRUE)</f>
        <v>68.77</v>
      </c>
      <c r="G7">
        <f>HLOOKUP(G2,Prices!$C$2:$BM$9,4,TRUE)</f>
        <v>67.040000000000006</v>
      </c>
      <c r="H7">
        <f>HLOOKUP(H2,Prices!$C$2:$BM$9,4,TRUE)</f>
        <v>69.7</v>
      </c>
      <c r="I7">
        <f>HLOOKUP(I2,Prices!$C$2:$BM$9,4,TRUE)</f>
        <v>69.08</v>
      </c>
      <c r="J7">
        <f>HLOOKUP(J2,Prices!$C$2:$BM$9,4,TRUE)</f>
        <v>68.69</v>
      </c>
      <c r="K7">
        <f>HLOOKUP(K2,Prices!$C$2:$BM$9,4,TRUE)</f>
        <v>68.41</v>
      </c>
      <c r="L7">
        <f>HLOOKUP(L2,Prices!$C$2:$BM$9,4,TRUE)</f>
        <v>68.7</v>
      </c>
      <c r="M7">
        <f>HLOOKUP(M2,Prices!$C$2:$BM$9,4,TRUE)</f>
        <v>69.38</v>
      </c>
      <c r="N7">
        <f>HLOOKUP(N2,Prices!$C$2:$BM$9,4,TRUE)</f>
        <v>70.08</v>
      </c>
      <c r="O7">
        <f>HLOOKUP(O2,Prices!$C$2:$BM$9,4,TRUE)</f>
        <v>71.09</v>
      </c>
      <c r="P7">
        <f>HLOOKUP(P2,Prices!$C$2:$BM$9,4,TRUE)</f>
        <v>71.86</v>
      </c>
      <c r="Q7">
        <f>HLOOKUP(Q2,Prices!$C$2:$BM$9,4,TRUE)</f>
        <v>70.47</v>
      </c>
      <c r="R7">
        <f>HLOOKUP(R2,Prices!$C$2:$BM$9,4,TRUE)</f>
        <v>70.040000000000006</v>
      </c>
      <c r="S7">
        <f>HLOOKUP(S2,Prices!$C$2:$BM$9,4,TRUE)</f>
        <v>69.87</v>
      </c>
      <c r="T7">
        <f>HLOOKUP(T2,Prices!$C$2:$BM$9,4,TRUE)</f>
        <v>69.28</v>
      </c>
      <c r="U7">
        <f>HLOOKUP(U2,Prices!$C$2:$BM$9,4,TRUE)</f>
        <v>70.37</v>
      </c>
      <c r="V7">
        <f>HLOOKUP(V2,Prices!$C$2:$BM$9,4,TRUE)</f>
        <v>70.150000000000006</v>
      </c>
      <c r="W7">
        <f>HLOOKUP(W2,Prices!$C$2:$BM$9,4,TRUE)</f>
        <v>70.48</v>
      </c>
      <c r="X7">
        <f>HLOOKUP(X2,Prices!$C$2:$BM$9,4,TRUE)</f>
        <v>68.42</v>
      </c>
      <c r="Y7">
        <f>HLOOKUP(Y2,Prices!$C$2:$BM$9,4,TRUE)</f>
        <v>68.260000000000005</v>
      </c>
      <c r="Z7">
        <f>HLOOKUP(Z2,Prices!$C$2:$BM$9,4,TRUE)</f>
        <v>67.98</v>
      </c>
      <c r="AA7">
        <f>HLOOKUP(AA2,Prices!$C$2:$BM$9,4,TRUE)</f>
        <v>68.13</v>
      </c>
      <c r="AB7">
        <f>HLOOKUP(AB2,Prices!$C$2:$BM$9,4,TRUE)</f>
        <v>67.87</v>
      </c>
      <c r="AC7">
        <f>HLOOKUP(AC2,Prices!$C$2:$BM$9,4,TRUE)</f>
        <v>67.81</v>
      </c>
      <c r="AD7">
        <f>HLOOKUP(AD2,Prices!$C$2:$BM$9,4,TRUE)</f>
        <v>68.25</v>
      </c>
      <c r="AE7">
        <f>HLOOKUP(AE2,Prices!$C$2:$BM$9,4,TRUE)</f>
        <v>68.62</v>
      </c>
      <c r="AF7">
        <f>HLOOKUP(AF2,Prices!$C$2:$BM$9,4,TRUE)</f>
        <v>69.09</v>
      </c>
      <c r="AG7">
        <f>HLOOKUP(AG2,Prices!$C$2:$BM$9,4,TRUE)</f>
        <v>71.91</v>
      </c>
      <c r="AH7">
        <f>HLOOKUP(AH2,Prices!$C$2:$BM$9,4,TRUE)</f>
        <v>72.31</v>
      </c>
      <c r="AI7">
        <f>HLOOKUP(AI2,Prices!$C$2:$BM$9,4,TRUE)</f>
        <v>71.040000000000006</v>
      </c>
      <c r="AJ7">
        <f>HLOOKUP(AJ2,Prices!$C$2:$BM$9,4,TRUE)</f>
        <v>71.239999999999995</v>
      </c>
      <c r="AK7">
        <f>HLOOKUP(AK2,Prices!$C$2:$BM$9,4,TRUE)</f>
        <v>77.349999999999994</v>
      </c>
      <c r="AL7">
        <f>HLOOKUP(AL2,Prices!$C$2:$BM$9,4,TRUE)</f>
        <v>79.86</v>
      </c>
      <c r="AM7">
        <f>HLOOKUP(AM2,Prices!$C$2:$BM$9,4,TRUE)</f>
        <v>80.180000000000007</v>
      </c>
      <c r="AN7">
        <f>HLOOKUP(AN2,Prices!$C$2:$BM$9,4,TRUE)</f>
        <v>80.94</v>
      </c>
      <c r="AO7">
        <f>HLOOKUP(AO2,Prices!$C$2:$BM$9,4,TRUE)</f>
        <v>82.51</v>
      </c>
      <c r="AP7">
        <f>HLOOKUP(AP2,Prices!$C$2:$BM$9,4,TRUE)</f>
        <v>84.03</v>
      </c>
      <c r="AQ7">
        <f>HLOOKUP(AQ2,Prices!$C$2:$BM$9,4,TRUE)</f>
        <v>82.98</v>
      </c>
      <c r="AR7">
        <f>HLOOKUP(AR2,Prices!$C$2:$BM$9,4,TRUE)</f>
        <v>82.11</v>
      </c>
      <c r="AS7">
        <f>HLOOKUP(AS2,Prices!$C$2:$BM$9,4,TRUE)</f>
        <v>84.19</v>
      </c>
      <c r="AT7">
        <f>HLOOKUP(AT2,Prices!$C$2:$BM$9,4,TRUE)</f>
        <v>84.1</v>
      </c>
      <c r="AU7">
        <f>HLOOKUP(AU2,Prices!$C$2:$BM$9,4,TRUE)</f>
        <v>84.32</v>
      </c>
      <c r="AV7">
        <f>HLOOKUP(AV2,Prices!$C$2:$BM$9,4,TRUE)</f>
        <v>83.82</v>
      </c>
      <c r="AW7">
        <f>HLOOKUP(AW2,Prices!$C$2:$BM$9,4,TRUE)</f>
        <v>85.05</v>
      </c>
      <c r="AX7">
        <f>HLOOKUP(AX2,Prices!$C$2:$BM$9,4,TRUE)</f>
        <v>85.75</v>
      </c>
      <c r="AY7">
        <f>HLOOKUP(AY2,Prices!$C$2:$BM$9,4,TRUE)</f>
        <v>87.13</v>
      </c>
      <c r="AZ7">
        <f>HLOOKUP(AZ2,Prices!$C$2:$BM$9,4,TRUE)</f>
        <v>89.58</v>
      </c>
      <c r="BA7">
        <f>HLOOKUP(BA2,Prices!$C$2:$BM$9,4,TRUE)</f>
        <v>89.72</v>
      </c>
      <c r="BB7">
        <f>HLOOKUP(BB2,Prices!$C$2:$BM$9,4,TRUE)</f>
        <v>91.1</v>
      </c>
      <c r="BC7">
        <f>HLOOKUP(BC2,Prices!$C$2:$BM$9,4,TRUE)</f>
        <v>92.45</v>
      </c>
      <c r="BD7">
        <f>HLOOKUP(BD2,Prices!$C$2:$BM$9,4,TRUE)</f>
        <v>91.11</v>
      </c>
      <c r="BE7">
        <f>HLOOKUP(BE2,Prices!$C$2:$BM$9,4,TRUE)</f>
        <v>89.75</v>
      </c>
      <c r="BF7">
        <f>HLOOKUP(BF2,Prices!$C$2:$BM$9,4,TRUE)</f>
        <v>89.56</v>
      </c>
      <c r="BG7">
        <f>HLOOKUP(BG2,Prices!$C$2:$BM$9,4,TRUE)</f>
        <v>88.47</v>
      </c>
      <c r="BH7">
        <f>HLOOKUP(BH2,Prices!$C$2:$BM$9,4,TRUE)</f>
        <v>85.57</v>
      </c>
      <c r="BI7">
        <f>HLOOKUP(BI2,Prices!$C$2:$BM$9,4,TRUE)</f>
        <v>84.35</v>
      </c>
      <c r="BJ7">
        <f>HLOOKUP(BJ2,Prices!$C$2:$BM$9,4,TRUE)</f>
        <v>83.96</v>
      </c>
      <c r="BK7">
        <f>HLOOKUP(BK2,Prices!$C$2:$BM$9,4,TRUE)</f>
        <v>81.03</v>
      </c>
      <c r="BL7">
        <f>HLOOKUP(BL2,Prices!$C$2:$BM$9,4,TRUE)</f>
        <v>81.05</v>
      </c>
      <c r="BM7">
        <f>HLOOKUP(BM2,Prices!$C$2:$BM$9,4,TRUE)</f>
        <v>78.22</v>
      </c>
    </row>
    <row r="8" spans="2:65">
      <c r="B8" s="3" t="s">
        <v>129</v>
      </c>
      <c r="C8">
        <f>HLOOKUP(C2,Prices!$C$2:$BM$9,5,TRUE)</f>
        <v>38.49</v>
      </c>
      <c r="D8">
        <f>HLOOKUP(D2,Prices!$C$2:$BM$9,5,TRUE)</f>
        <v>38.950000000000003</v>
      </c>
      <c r="E8">
        <f>HLOOKUP(E2,Prices!$C$2:$BM$9,5,TRUE)</f>
        <v>38.89</v>
      </c>
      <c r="F8">
        <f>HLOOKUP(F2,Prices!$C$2:$BM$9,5,TRUE)</f>
        <v>39.17</v>
      </c>
      <c r="G8">
        <f>HLOOKUP(G2,Prices!$C$2:$BM$9,5,TRUE)</f>
        <v>39.25</v>
      </c>
      <c r="H8">
        <f>HLOOKUP(H2,Prices!$C$2:$BM$9,5,TRUE)</f>
        <v>39.42</v>
      </c>
      <c r="I8">
        <f>HLOOKUP(I2,Prices!$C$2:$BM$9,5,TRUE)</f>
        <v>39.380000000000003</v>
      </c>
      <c r="J8">
        <f>HLOOKUP(J2,Prices!$C$2:$BM$9,5,TRUE)</f>
        <v>39.369999999999997</v>
      </c>
      <c r="K8">
        <f>HLOOKUP(K2,Prices!$C$2:$BM$9,5,TRUE)</f>
        <v>39.17</v>
      </c>
      <c r="L8">
        <f>HLOOKUP(L2,Prices!$C$2:$BM$9,5,TRUE)</f>
        <v>39.159999999999997</v>
      </c>
      <c r="M8">
        <f>HLOOKUP(M2,Prices!$C$2:$BM$9,5,TRUE)</f>
        <v>38.950000000000003</v>
      </c>
      <c r="N8">
        <f>HLOOKUP(N2,Prices!$C$2:$BM$9,5,TRUE)</f>
        <v>39.5</v>
      </c>
      <c r="O8">
        <f>HLOOKUP(O2,Prices!$C$2:$BM$9,5,TRUE)</f>
        <v>39.630000000000003</v>
      </c>
      <c r="P8">
        <f>HLOOKUP(P2,Prices!$C$2:$BM$9,5,TRUE)</f>
        <v>38</v>
      </c>
      <c r="Q8">
        <f>HLOOKUP(Q2,Prices!$C$2:$BM$9,5,TRUE)</f>
        <v>37.18</v>
      </c>
      <c r="R8">
        <f>HLOOKUP(R2,Prices!$C$2:$BM$9,5,TRUE)</f>
        <v>37.6</v>
      </c>
      <c r="S8">
        <f>HLOOKUP(S2,Prices!$C$2:$BM$9,5,TRUE)</f>
        <v>37.75</v>
      </c>
      <c r="T8">
        <f>HLOOKUP(T2,Prices!$C$2:$BM$9,5,TRUE)</f>
        <v>37.26</v>
      </c>
      <c r="U8">
        <f>HLOOKUP(U2,Prices!$C$2:$BM$9,5,TRUE)</f>
        <v>37.4</v>
      </c>
      <c r="V8">
        <f>HLOOKUP(V2,Prices!$C$2:$BM$9,5,TRUE)</f>
        <v>37.659999999999997</v>
      </c>
      <c r="W8">
        <f>HLOOKUP(W2,Prices!$C$2:$BM$9,5,TRUE)</f>
        <v>37.380000000000003</v>
      </c>
      <c r="X8">
        <f>HLOOKUP(X2,Prices!$C$2:$BM$9,5,TRUE)</f>
        <v>37.32</v>
      </c>
      <c r="Y8">
        <f>HLOOKUP(Y2,Prices!$C$2:$BM$9,5,TRUE)</f>
        <v>37.549999999999997</v>
      </c>
      <c r="Z8">
        <f>HLOOKUP(Z2,Prices!$C$2:$BM$9,5,TRUE)</f>
        <v>38.1</v>
      </c>
      <c r="AA8">
        <f>HLOOKUP(AA2,Prices!$C$2:$BM$9,5,TRUE)</f>
        <v>38.19</v>
      </c>
      <c r="AB8">
        <f>HLOOKUP(AB2,Prices!$C$2:$BM$9,5,TRUE)</f>
        <v>38.200000000000003</v>
      </c>
      <c r="AC8">
        <f>HLOOKUP(AC2,Prices!$C$2:$BM$9,5,TRUE)</f>
        <v>38.04</v>
      </c>
      <c r="AD8">
        <f>HLOOKUP(AD2,Prices!$C$2:$BM$9,5,TRUE)</f>
        <v>38.06</v>
      </c>
      <c r="AE8">
        <f>HLOOKUP(AE2,Prices!$C$2:$BM$9,5,TRUE)</f>
        <v>38.17</v>
      </c>
      <c r="AF8">
        <f>HLOOKUP(AF2,Prices!$C$2:$BM$9,5,TRUE)</f>
        <v>38.35</v>
      </c>
      <c r="AG8">
        <f>HLOOKUP(AG2,Prices!$C$2:$BM$9,5,TRUE)</f>
        <v>38.26</v>
      </c>
      <c r="AH8">
        <f>HLOOKUP(AH2,Prices!$C$2:$BM$9,5,TRUE)</f>
        <v>38.590000000000003</v>
      </c>
      <c r="AI8">
        <f>HLOOKUP(AI2,Prices!$C$2:$BM$9,5,TRUE)</f>
        <v>38.5</v>
      </c>
      <c r="AJ8">
        <f>HLOOKUP(AJ2,Prices!$C$2:$BM$9,5,TRUE)</f>
        <v>38.74</v>
      </c>
      <c r="AK8">
        <f>HLOOKUP(AK2,Prices!$C$2:$BM$9,5,TRUE)</f>
        <v>38.93</v>
      </c>
      <c r="AL8">
        <f>HLOOKUP(AL2,Prices!$C$2:$BM$9,5,TRUE)</f>
        <v>39.15</v>
      </c>
      <c r="AM8">
        <f>HLOOKUP(AM2,Prices!$C$2:$BM$9,5,TRUE)</f>
        <v>39.07</v>
      </c>
      <c r="AN8">
        <f>HLOOKUP(AN2,Prices!$C$2:$BM$9,5,TRUE)</f>
        <v>38.96</v>
      </c>
      <c r="AO8">
        <f>HLOOKUP(AO2,Prices!$C$2:$BM$9,5,TRUE)</f>
        <v>39.159999999999997</v>
      </c>
      <c r="AP8">
        <f>HLOOKUP(AP2,Prices!$C$2:$BM$9,5,TRUE)</f>
        <v>39.24</v>
      </c>
      <c r="AQ8">
        <f>HLOOKUP(AQ2,Prices!$C$2:$BM$9,5,TRUE)</f>
        <v>39.04</v>
      </c>
      <c r="AR8">
        <f>HLOOKUP(AR2,Prices!$C$2:$BM$9,5,TRUE)</f>
        <v>39.08</v>
      </c>
      <c r="AS8">
        <f>HLOOKUP(AS2,Prices!$C$2:$BM$9,5,TRUE)</f>
        <v>38.86</v>
      </c>
      <c r="AT8">
        <f>HLOOKUP(AT2,Prices!$C$2:$BM$9,5,TRUE)</f>
        <v>39.06</v>
      </c>
      <c r="AU8">
        <f>HLOOKUP(AU2,Prices!$C$2:$BM$9,5,TRUE)</f>
        <v>39.1</v>
      </c>
      <c r="AV8">
        <f>HLOOKUP(AV2,Prices!$C$2:$BM$9,5,TRUE)</f>
        <v>39.25</v>
      </c>
      <c r="AW8">
        <f>HLOOKUP(AW2,Prices!$C$2:$BM$9,5,TRUE)</f>
        <v>39.369999999999997</v>
      </c>
      <c r="AX8">
        <f>HLOOKUP(AX2,Prices!$C$2:$BM$9,5,TRUE)</f>
        <v>38.799999999999997</v>
      </c>
      <c r="AY8">
        <f>HLOOKUP(AY2,Prices!$C$2:$BM$9,5,TRUE)</f>
        <v>38.57</v>
      </c>
      <c r="AZ8">
        <f>HLOOKUP(AZ2,Prices!$C$2:$BM$9,5,TRUE)</f>
        <v>38.1</v>
      </c>
      <c r="BA8">
        <f>HLOOKUP(BA2,Prices!$C$2:$BM$9,5,TRUE)</f>
        <v>38.090000000000003</v>
      </c>
      <c r="BB8">
        <f>HLOOKUP(BB2,Prices!$C$2:$BM$9,5,TRUE)</f>
        <v>37.869999999999997</v>
      </c>
      <c r="BC8">
        <f>HLOOKUP(BC2,Prices!$C$2:$BM$9,5,TRUE)</f>
        <v>38.03</v>
      </c>
      <c r="BD8">
        <f>HLOOKUP(BD2,Prices!$C$2:$BM$9,5,TRUE)</f>
        <v>38.380000000000003</v>
      </c>
      <c r="BE8">
        <f>HLOOKUP(BE2,Prices!$C$2:$BM$9,5,TRUE)</f>
        <v>38.520000000000003</v>
      </c>
      <c r="BF8">
        <f>HLOOKUP(BF2,Prices!$C$2:$BM$9,5,TRUE)</f>
        <v>39.04</v>
      </c>
      <c r="BG8">
        <f>HLOOKUP(BG2,Prices!$C$2:$BM$9,5,TRUE)</f>
        <v>38.630000000000003</v>
      </c>
      <c r="BH8">
        <f>HLOOKUP(BH2,Prices!$C$2:$BM$9,5,TRUE)</f>
        <v>38.5</v>
      </c>
      <c r="BI8">
        <f>HLOOKUP(BI2,Prices!$C$2:$BM$9,5,TRUE)</f>
        <v>38.25</v>
      </c>
      <c r="BJ8">
        <f>HLOOKUP(BJ2,Prices!$C$2:$BM$9,5,TRUE)</f>
        <v>38.58</v>
      </c>
      <c r="BK8">
        <f>HLOOKUP(BK2,Prices!$C$2:$BM$9,5,TRUE)</f>
        <v>37.049999999999997</v>
      </c>
      <c r="BL8">
        <f>HLOOKUP(BL2,Prices!$C$2:$BM$9,5,TRUE)</f>
        <v>37.43</v>
      </c>
      <c r="BM8">
        <f>HLOOKUP(BM2,Prices!$C$2:$BM$9,5,TRUE)</f>
        <v>37.619999999999997</v>
      </c>
    </row>
    <row r="9" spans="2:65">
      <c r="B9" s="3" t="s">
        <v>119</v>
      </c>
      <c r="C9">
        <f>HLOOKUP(C2,Prices!$C$2:$BM$9,6,TRUE)</f>
        <v>1258.8</v>
      </c>
      <c r="D9">
        <f>HLOOKUP(D2,Prices!$C$2:$BM$9,6,TRUE)</f>
        <v>1272.25</v>
      </c>
      <c r="E9">
        <f>HLOOKUP(E2,Prices!$C$2:$BM$9,6,TRUE)</f>
        <v>1289.6099999999999</v>
      </c>
      <c r="F9">
        <f>HLOOKUP(F2,Prices!$C$2:$BM$9,6,TRUE)</f>
        <v>1291.44</v>
      </c>
      <c r="G9">
        <f>HLOOKUP(G2,Prices!$C$2:$BM$9,6,TRUE)</f>
        <v>1291.01</v>
      </c>
      <c r="H9">
        <f>HLOOKUP(H2,Prices!$C$2:$BM$9,6,TRUE)</f>
        <v>1306.94</v>
      </c>
      <c r="I9">
        <f>HLOOKUP(I2,Prices!$C$2:$BM$9,6,TRUE)</f>
        <v>1309</v>
      </c>
      <c r="J9">
        <f>HLOOKUP(J2,Prices!$C$2:$BM$9,6,TRUE)</f>
        <v>1298.28</v>
      </c>
      <c r="K9">
        <f>HLOOKUP(K2,Prices!$C$2:$BM$9,6,TRUE)</f>
        <v>1297.21</v>
      </c>
      <c r="L9">
        <f>HLOOKUP(L2,Prices!$C$2:$BM$9,6,TRUE)</f>
        <v>1296.18</v>
      </c>
      <c r="M9">
        <f>HLOOKUP(M2,Prices!$C$2:$BM$9,6,TRUE)</f>
        <v>1309.1500000000001</v>
      </c>
      <c r="N9">
        <f>HLOOKUP(N2,Prices!$C$2:$BM$9,6,TRUE)</f>
        <v>1333.54</v>
      </c>
      <c r="O9">
        <f>HLOOKUP(O2,Prices!$C$2:$BM$9,6,TRUE)</f>
        <v>1319.84</v>
      </c>
      <c r="P9">
        <f>HLOOKUP(P2,Prices!$C$2:$BM$9,6,TRUE)</f>
        <v>1312.59</v>
      </c>
      <c r="Q9">
        <f>HLOOKUP(Q2,Prices!$C$2:$BM$9,6,TRUE)</f>
        <v>1301.8599999999999</v>
      </c>
      <c r="R9">
        <f>HLOOKUP(R2,Prices!$C$2:$BM$9,6,TRUE)</f>
        <v>1300.1400000000001</v>
      </c>
      <c r="S9">
        <f>HLOOKUP(S2,Prices!$C$2:$BM$9,6,TRUE)</f>
        <v>1293.67</v>
      </c>
      <c r="T9">
        <f>HLOOKUP(T2,Prices!$C$2:$BM$9,6,TRUE)</f>
        <v>1305.6400000000001</v>
      </c>
      <c r="U9">
        <f>HLOOKUP(U2,Prices!$C$2:$BM$9,6,TRUE)</f>
        <v>1313</v>
      </c>
      <c r="V9">
        <f>HLOOKUP(V2,Prices!$C$2:$BM$9,6,TRUE)</f>
        <v>1312.13</v>
      </c>
      <c r="W9">
        <f>HLOOKUP(W2,Prices!$C$2:$BM$9,6,TRUE)</f>
        <v>1304.0899999999999</v>
      </c>
      <c r="X9">
        <f>HLOOKUP(X2,Prices!$C$2:$BM$9,6,TRUE)</f>
        <v>1288.8599999999999</v>
      </c>
      <c r="Y9">
        <f>HLOOKUP(Y2,Prices!$C$2:$BM$9,6,TRUE)</f>
        <v>1294.74</v>
      </c>
      <c r="Z9">
        <f>HLOOKUP(Z2,Prices!$C$2:$BM$9,6,TRUE)</f>
        <v>1318.94</v>
      </c>
      <c r="AA9">
        <f>HLOOKUP(AA2,Prices!$C$2:$BM$9,6,TRUE)</f>
        <v>1326.96</v>
      </c>
      <c r="AB9">
        <f>HLOOKUP(AB2,Prices!$C$2:$BM$9,6,TRUE)</f>
        <v>1339.39</v>
      </c>
      <c r="AC9">
        <f>HLOOKUP(AC2,Prices!$C$2:$BM$9,6,TRUE)</f>
        <v>1342.99</v>
      </c>
      <c r="AD9">
        <f>HLOOKUP(AD2,Prices!$C$2:$BM$9,6,TRUE)</f>
        <v>1342.89</v>
      </c>
      <c r="AE9">
        <f>HLOOKUP(AE2,Prices!$C$2:$BM$9,6,TRUE)</f>
        <v>1344.25</v>
      </c>
      <c r="AF9">
        <f>HLOOKUP(AF2,Prices!$C$2:$BM$9,6,TRUE)</f>
        <v>1348.49</v>
      </c>
      <c r="AG9">
        <f>HLOOKUP(AG2,Prices!$C$2:$BM$9,6,TRUE)</f>
        <v>1346.87</v>
      </c>
      <c r="AH9">
        <f>HLOOKUP(AH2,Prices!$C$2:$BM$9,6,TRUE)</f>
        <v>1360.7</v>
      </c>
      <c r="AI9">
        <f>HLOOKUP(AI2,Prices!$C$2:$BM$9,6,TRUE)</f>
        <v>1354.89</v>
      </c>
      <c r="AJ9">
        <f>HLOOKUP(AJ2,Prices!$C$2:$BM$9,6,TRUE)</f>
        <v>1351.91</v>
      </c>
      <c r="AK9">
        <f>HLOOKUP(AK2,Prices!$C$2:$BM$9,6,TRUE)</f>
        <v>1356.44</v>
      </c>
      <c r="AL9">
        <f>HLOOKUP(AL2,Prices!$C$2:$BM$9,6,TRUE)</f>
        <v>1351.22</v>
      </c>
      <c r="AM9">
        <f>HLOOKUP(AM2,Prices!$C$2:$BM$9,6,TRUE)</f>
        <v>1350.63</v>
      </c>
      <c r="AN9">
        <f>HLOOKUP(AN2,Prices!$C$2:$BM$9,6,TRUE)</f>
        <v>1344.43</v>
      </c>
      <c r="AO9">
        <f>HLOOKUP(AO2,Prices!$C$2:$BM$9,6,TRUE)</f>
        <v>1362.47</v>
      </c>
      <c r="AP9">
        <f>HLOOKUP(AP2,Prices!$C$2:$BM$9,6,TRUE)</f>
        <v>1354.64</v>
      </c>
      <c r="AQ9">
        <f>HLOOKUP(AQ2,Prices!$C$2:$BM$9,6,TRUE)</f>
        <v>1339.71</v>
      </c>
      <c r="AR9">
        <f>HLOOKUP(AR2,Prices!$C$2:$BM$9,6,TRUE)</f>
        <v>1339.39</v>
      </c>
      <c r="AS9">
        <f>HLOOKUP(AS2,Prices!$C$2:$BM$9,6,TRUE)</f>
        <v>1368.68</v>
      </c>
      <c r="AT9">
        <f>HLOOKUP(AT2,Prices!$C$2:$BM$9,6,TRUE)</f>
        <v>1361.52</v>
      </c>
      <c r="AU9">
        <f>HLOOKUP(AU2,Prices!$C$2:$BM$9,6,TRUE)</f>
        <v>1397.81</v>
      </c>
      <c r="AV9">
        <f>HLOOKUP(AV2,Prices!$C$2:$BM$9,6,TRUE)</f>
        <v>1395.11</v>
      </c>
      <c r="AW9">
        <f>HLOOKUP(AW2,Prices!$C$2:$BM$9,6,TRUE)</f>
        <v>1405.04</v>
      </c>
      <c r="AX9">
        <f>HLOOKUP(AX2,Prices!$C$2:$BM$9,6,TRUE)</f>
        <v>1419.79</v>
      </c>
      <c r="AY9">
        <f>HLOOKUP(AY2,Prices!$C$2:$BM$9,6,TRUE)</f>
        <v>1428.96</v>
      </c>
      <c r="AZ9">
        <f>HLOOKUP(AZ2,Prices!$C$2:$BM$9,6,TRUE)</f>
        <v>1440.03</v>
      </c>
      <c r="BA9">
        <f>HLOOKUP(BA2,Prices!$C$2:$BM$9,6,TRUE)</f>
        <v>1430.59</v>
      </c>
      <c r="BB9">
        <f>HLOOKUP(BB2,Prices!$C$2:$BM$9,6,TRUE)</f>
        <v>1439.2</v>
      </c>
      <c r="BC9">
        <f>HLOOKUP(BC2,Prices!$C$2:$BM$9,6,TRUE)</f>
        <v>1450.16</v>
      </c>
      <c r="BD9">
        <f>HLOOKUP(BD2,Prices!$C$2:$BM$9,6,TRUE)</f>
        <v>1479.52</v>
      </c>
      <c r="BE9">
        <f>HLOOKUP(BE2,Prices!$C$2:$BM$9,6,TRUE)</f>
        <v>1482.25</v>
      </c>
      <c r="BF9">
        <f>HLOOKUP(BF2,Prices!$C$2:$BM$9,6,TRUE)</f>
        <v>1484.17</v>
      </c>
      <c r="BG9">
        <f>HLOOKUP(BG2,Prices!$C$2:$BM$9,6,TRUE)</f>
        <v>1484.69</v>
      </c>
      <c r="BH9">
        <f>HLOOKUP(BH2,Prices!$C$2:$BM$9,6,TRUE)</f>
        <v>1466.17</v>
      </c>
      <c r="BI9">
        <f>HLOOKUP(BI2,Prices!$C$2:$BM$9,6,TRUE)</f>
        <v>1431.73</v>
      </c>
      <c r="BJ9">
        <f>HLOOKUP(BJ2,Prices!$C$2:$BM$9,6,TRUE)</f>
        <v>1450.5</v>
      </c>
      <c r="BK9">
        <f>HLOOKUP(BK2,Prices!$C$2:$BM$9,6,TRUE)</f>
        <v>1456.7</v>
      </c>
      <c r="BL9">
        <f>HLOOKUP(BL2,Prices!$C$2:$BM$9,6,TRUE)</f>
        <v>1454.25</v>
      </c>
      <c r="BM9">
        <f>HLOOKUP(BM2,Prices!$C$2:$BM$9,6,TRUE)</f>
        <v>1432.78</v>
      </c>
    </row>
    <row r="10" spans="2:65">
      <c r="B10" s="3" t="s">
        <v>130</v>
      </c>
      <c r="C10">
        <f>HLOOKUP(C2,Prices!$C$2:$BM$9,7,TRUE)</f>
        <v>129.91999999999999</v>
      </c>
      <c r="D10">
        <f>HLOOKUP(D2,Prices!$C$2:$BM$9,7,TRUE)</f>
        <v>132.75</v>
      </c>
      <c r="E10">
        <f>HLOOKUP(E2,Prices!$C$2:$BM$9,7,TRUE)</f>
        <v>132.91999999999999</v>
      </c>
      <c r="F10">
        <f>HLOOKUP(F2,Prices!$C$2:$BM$9,7,TRUE)</f>
        <v>131.44999999999999</v>
      </c>
      <c r="G10">
        <f>HLOOKUP(G2,Prices!$C$2:$BM$9,7,TRUE)</f>
        <v>131.27000000000001</v>
      </c>
      <c r="H10">
        <f>HLOOKUP(H2,Prices!$C$2:$BM$9,7,TRUE)</f>
        <v>132.96</v>
      </c>
      <c r="I10">
        <f>HLOOKUP(I2,Prices!$C$2:$BM$9,7,TRUE)</f>
        <v>137.96</v>
      </c>
      <c r="J10">
        <f>HLOOKUP(J2,Prices!$C$2:$BM$9,7,TRUE)</f>
        <v>136.74</v>
      </c>
      <c r="K10">
        <f>HLOOKUP(K2,Prices!$C$2:$BM$9,7,TRUE)</f>
        <v>138.58000000000001</v>
      </c>
      <c r="L10">
        <f>HLOOKUP(L2,Prices!$C$2:$BM$9,7,TRUE)</f>
        <v>148.72</v>
      </c>
      <c r="M10">
        <f>HLOOKUP(M2,Prices!$C$2:$BM$9,7,TRUE)</f>
        <v>147.15</v>
      </c>
      <c r="N10">
        <f>HLOOKUP(N2,Prices!$C$2:$BM$9,7,TRUE)</f>
        <v>144.66999999999999</v>
      </c>
      <c r="O10">
        <f>HLOOKUP(O2,Prices!$C$2:$BM$9,7,TRUE)</f>
        <v>147.65</v>
      </c>
      <c r="P10">
        <f>HLOOKUP(P2,Prices!$C$2:$BM$9,7,TRUE)</f>
        <v>148.38</v>
      </c>
      <c r="Q10">
        <f>HLOOKUP(Q2,Prices!$C$2:$BM$9,7,TRUE)</f>
        <v>146.93</v>
      </c>
      <c r="R10">
        <f>HLOOKUP(R2,Prices!$C$2:$BM$9,7,TRUE)</f>
        <v>146.9</v>
      </c>
      <c r="S10">
        <f>HLOOKUP(S2,Prices!$C$2:$BM$9,7,TRUE)</f>
        <v>148.29</v>
      </c>
      <c r="T10">
        <f>HLOOKUP(T2,Prices!$C$2:$BM$9,7,TRUE)</f>
        <v>149.69</v>
      </c>
      <c r="U10">
        <f>HLOOKUP(U2,Prices!$C$2:$BM$9,7,TRUE)</f>
        <v>151.63999999999999</v>
      </c>
      <c r="V10">
        <f>HLOOKUP(V2,Prices!$C$2:$BM$9,7,TRUE)</f>
        <v>151.47999999999999</v>
      </c>
      <c r="W10">
        <f>HLOOKUP(W2,Prices!$C$2:$BM$9,7,TRUE)</f>
        <v>151.58000000000001</v>
      </c>
      <c r="X10">
        <f>HLOOKUP(X2,Prices!$C$2:$BM$9,7,TRUE)</f>
        <v>150.62</v>
      </c>
      <c r="Y10">
        <f>HLOOKUP(Y2,Prices!$C$2:$BM$9,7,TRUE)</f>
        <v>148.58000000000001</v>
      </c>
      <c r="Z10">
        <f>HLOOKUP(Z2,Prices!$C$2:$BM$9,7,TRUE)</f>
        <v>148.28</v>
      </c>
      <c r="AA10">
        <f>HLOOKUP(AA2,Prices!$C$2:$BM$9,7,TRUE)</f>
        <v>147.44</v>
      </c>
      <c r="AB10">
        <f>HLOOKUP(AB2,Prices!$C$2:$BM$9,7,TRUE)</f>
        <v>147.66</v>
      </c>
      <c r="AC10">
        <f>HLOOKUP(AC2,Prices!$C$2:$BM$9,7,TRUE)</f>
        <v>146.21</v>
      </c>
      <c r="AD10">
        <f>HLOOKUP(AD2,Prices!$C$2:$BM$9,7,TRUE)</f>
        <v>146.1</v>
      </c>
      <c r="AE10">
        <f>HLOOKUP(AE2,Prices!$C$2:$BM$9,7,TRUE)</f>
        <v>147.59</v>
      </c>
      <c r="AF10">
        <f>HLOOKUP(AF2,Prices!$C$2:$BM$9,7,TRUE)</f>
        <v>147.76</v>
      </c>
      <c r="AG10">
        <f>HLOOKUP(AG2,Prices!$C$2:$BM$9,7,TRUE)</f>
        <v>146.38</v>
      </c>
      <c r="AH10">
        <f>HLOOKUP(AH2,Prices!$C$2:$BM$9,7,TRUE)</f>
        <v>148.46</v>
      </c>
      <c r="AI10">
        <f>HLOOKUP(AI2,Prices!$C$2:$BM$9,7,TRUE)</f>
        <v>147.72999999999999</v>
      </c>
      <c r="AJ10">
        <f>HLOOKUP(AJ2,Prices!$C$2:$BM$9,7,TRUE)</f>
        <v>146.26</v>
      </c>
      <c r="AK10">
        <f>HLOOKUP(AK2,Prices!$C$2:$BM$9,7,TRUE)</f>
        <v>146.15</v>
      </c>
      <c r="AL10">
        <f>HLOOKUP(AL2,Prices!$C$2:$BM$9,7,TRUE)</f>
        <v>146.88</v>
      </c>
      <c r="AM10">
        <f>HLOOKUP(AM2,Prices!$C$2:$BM$9,7,TRUE)</f>
        <v>144.68</v>
      </c>
      <c r="AN10">
        <f>HLOOKUP(AN2,Prices!$C$2:$BM$9,7,TRUE)</f>
        <v>145.29</v>
      </c>
      <c r="AO10">
        <f>HLOOKUP(AO2,Prices!$C$2:$BM$9,7,TRUE)</f>
        <v>145.69999999999999</v>
      </c>
      <c r="AP10">
        <f>HLOOKUP(AP2,Prices!$C$2:$BM$9,7,TRUE)</f>
        <v>145.75</v>
      </c>
      <c r="AQ10">
        <f>HLOOKUP(AQ2,Prices!$C$2:$BM$9,7,TRUE)</f>
        <v>143.77000000000001</v>
      </c>
      <c r="AR10">
        <f>HLOOKUP(AR2,Prices!$C$2:$BM$9,7,TRUE)</f>
        <v>144.63</v>
      </c>
      <c r="AS10">
        <f>HLOOKUP(AS2,Prices!$C$2:$BM$9,7,TRUE)</f>
        <v>148.19999999999999</v>
      </c>
      <c r="AT10">
        <f>HLOOKUP(AT2,Prices!$C$2:$BM$9,7,TRUE)</f>
        <v>146.5</v>
      </c>
      <c r="AU10">
        <f>HLOOKUP(AU2,Prices!$C$2:$BM$9,7,TRUE)</f>
        <v>145.65</v>
      </c>
      <c r="AV10">
        <f>HLOOKUP(AV2,Prices!$C$2:$BM$9,7,TRUE)</f>
        <v>145.69999999999999</v>
      </c>
      <c r="AW10">
        <f>HLOOKUP(AW2,Prices!$C$2:$BM$9,7,TRUE)</f>
        <v>145.4</v>
      </c>
      <c r="AX10">
        <f>HLOOKUP(AX2,Prices!$C$2:$BM$9,7,TRUE)</f>
        <v>144.83000000000001</v>
      </c>
      <c r="AY10">
        <f>HLOOKUP(AY2,Prices!$C$2:$BM$9,7,TRUE)</f>
        <v>144.62</v>
      </c>
      <c r="AZ10">
        <f>HLOOKUP(AZ2,Prices!$C$2:$BM$9,7,TRUE)</f>
        <v>143.88</v>
      </c>
      <c r="BA10">
        <f>HLOOKUP(BA2,Prices!$C$2:$BM$9,7,TRUE)</f>
        <v>145.19999999999999</v>
      </c>
      <c r="BB10">
        <f>HLOOKUP(BB2,Prices!$C$2:$BM$9,7,TRUE)</f>
        <v>144.32</v>
      </c>
      <c r="BC10">
        <f>HLOOKUP(BC2,Prices!$C$2:$BM$9,7,TRUE)</f>
        <v>145.12</v>
      </c>
      <c r="BD10">
        <f>HLOOKUP(BD2,Prices!$C$2:$BM$9,7,TRUE)</f>
        <v>144.33000000000001</v>
      </c>
      <c r="BE10">
        <f>HLOOKUP(BE2,Prices!$C$2:$BM$9,7,TRUE)</f>
        <v>143.56</v>
      </c>
      <c r="BF10">
        <f>HLOOKUP(BF2,Prices!$C$2:$BM$9,7,TRUE)</f>
        <v>144.01</v>
      </c>
      <c r="BG10">
        <f>HLOOKUP(BG2,Prices!$C$2:$BM$9,7,TRUE)</f>
        <v>142.19999999999999</v>
      </c>
      <c r="BH10">
        <f>HLOOKUP(BH2,Prices!$C$2:$BM$9,7,TRUE)</f>
        <v>140.08000000000001</v>
      </c>
      <c r="BI10">
        <f>HLOOKUP(BI2,Prices!$C$2:$BM$9,7,TRUE)</f>
        <v>135.9</v>
      </c>
      <c r="BJ10">
        <f>HLOOKUP(BJ2,Prices!$C$2:$BM$9,7,TRUE)</f>
        <v>138.37</v>
      </c>
      <c r="BK10">
        <f>HLOOKUP(BK2,Prices!$C$2:$BM$9,7,TRUE)</f>
        <v>136.06</v>
      </c>
      <c r="BL10">
        <f>HLOOKUP(BL2,Prices!$C$2:$BM$9,7,TRUE)</f>
        <v>137.81</v>
      </c>
      <c r="BM10">
        <f>HLOOKUP(BM2,Prices!$C$2:$BM$9,7,TRUE)</f>
        <v>138.31</v>
      </c>
    </row>
    <row r="11" spans="2:65">
      <c r="B11" s="3" t="s">
        <v>121</v>
      </c>
      <c r="C11">
        <f>HLOOKUP(C2,Prices!$C$2:$BM$9,8,TRUE)</f>
        <v>56.03</v>
      </c>
      <c r="D11">
        <f>HLOOKUP(D2,Prices!$C$2:$BM$9,8,TRUE)</f>
        <v>55.82</v>
      </c>
      <c r="E11">
        <f>HLOOKUP(E2,Prices!$C$2:$BM$9,8,TRUE)</f>
        <v>55.71</v>
      </c>
      <c r="F11">
        <f>HLOOKUP(F2,Prices!$C$2:$BM$9,8,TRUE)</f>
        <v>55.54</v>
      </c>
      <c r="G11">
        <f>HLOOKUP(G2,Prices!$C$2:$BM$9,8,TRUE)</f>
        <v>56.36</v>
      </c>
      <c r="H11">
        <f>HLOOKUP(H2,Prices!$C$2:$BM$9,8,TRUE)</f>
        <v>54.55</v>
      </c>
      <c r="I11">
        <f>HLOOKUP(I2,Prices!$C$2:$BM$9,8,TRUE)</f>
        <v>54.3</v>
      </c>
      <c r="J11">
        <f>HLOOKUP(J2,Prices!$C$2:$BM$9,8,TRUE)</f>
        <v>52.52</v>
      </c>
      <c r="K11">
        <f>HLOOKUP(K2,Prices!$C$2:$BM$9,8,TRUE)</f>
        <v>51.95</v>
      </c>
      <c r="L11">
        <f>HLOOKUP(L2,Prices!$C$2:$BM$9,8,TRUE)</f>
        <v>52.33</v>
      </c>
      <c r="M11">
        <f>HLOOKUP(M2,Prices!$C$2:$BM$9,8,TRUE)</f>
        <v>52.7</v>
      </c>
      <c r="N11">
        <f>HLOOKUP(N2,Prices!$C$2:$BM$9,8,TRUE)</f>
        <v>53.44</v>
      </c>
      <c r="O11">
        <f>HLOOKUP(O2,Prices!$C$2:$BM$9,8,TRUE)</f>
        <v>52.73</v>
      </c>
      <c r="P11">
        <f>HLOOKUP(P2,Prices!$C$2:$BM$9,8,TRUE)</f>
        <v>53.28</v>
      </c>
      <c r="Q11">
        <f>HLOOKUP(Q2,Prices!$C$2:$BM$9,8,TRUE)</f>
        <v>54.085000000000001</v>
      </c>
      <c r="R11">
        <f>HLOOKUP(R2,Prices!$C$2:$BM$9,8,TRUE)</f>
        <v>53.69</v>
      </c>
      <c r="S11">
        <f>HLOOKUP(S2,Prices!$C$2:$BM$9,8,TRUE)</f>
        <v>53.04</v>
      </c>
      <c r="T11">
        <f>HLOOKUP(T2,Prices!$C$2:$BM$9,8,TRUE)</f>
        <v>53.73</v>
      </c>
      <c r="U11">
        <f>HLOOKUP(U2,Prices!$C$2:$BM$9,8,TRUE)</f>
        <v>54.17</v>
      </c>
      <c r="V11">
        <f>HLOOKUP(V2,Prices!$C$2:$BM$9,8,TRUE)</f>
        <v>54.48</v>
      </c>
      <c r="W11">
        <f>HLOOKUP(W2,Prices!$C$2:$BM$9,8,TRUE)</f>
        <v>54.83</v>
      </c>
      <c r="X11">
        <f>HLOOKUP(X2,Prices!$C$2:$BM$9,8,TRUE)</f>
        <v>54.23</v>
      </c>
      <c r="Y11">
        <f>HLOOKUP(Y2,Prices!$C$2:$BM$9,8,TRUE)</f>
        <v>54.59</v>
      </c>
      <c r="Z11">
        <f>HLOOKUP(Z2,Prices!$C$2:$BM$9,8,TRUE)</f>
        <v>53.88</v>
      </c>
      <c r="AA11">
        <f>HLOOKUP(AA2,Prices!$C$2:$BM$9,8,TRUE)</f>
        <v>54.99</v>
      </c>
      <c r="AB11">
        <f>HLOOKUP(AB2,Prices!$C$2:$BM$9,8,TRUE)</f>
        <v>55.21</v>
      </c>
      <c r="AC11">
        <f>HLOOKUP(AC2,Prices!$C$2:$BM$9,8,TRUE)</f>
        <v>54.39</v>
      </c>
      <c r="AD11">
        <f>HLOOKUP(AD2,Prices!$C$2:$BM$9,8,TRUE)</f>
        <v>55.94</v>
      </c>
      <c r="AE11">
        <f>HLOOKUP(AE2,Prices!$C$2:$BM$9,8,TRUE)</f>
        <v>56.48</v>
      </c>
      <c r="AF11">
        <f>HLOOKUP(AF2,Prices!$C$2:$BM$9,8,TRUE)</f>
        <v>58.56</v>
      </c>
      <c r="AG11">
        <f>HLOOKUP(AG2,Prices!$C$2:$BM$9,8,TRUE)</f>
        <v>58.65</v>
      </c>
      <c r="AH11">
        <f>HLOOKUP(AH2,Prices!$C$2:$BM$9,8,TRUE)</f>
        <v>58.61</v>
      </c>
      <c r="AI11">
        <f>HLOOKUP(AI2,Prices!$C$2:$BM$9,8,TRUE)</f>
        <v>58.26</v>
      </c>
      <c r="AJ11">
        <f>HLOOKUP(AJ2,Prices!$C$2:$BM$9,8,TRUE)</f>
        <v>59.02</v>
      </c>
      <c r="AK11">
        <f>HLOOKUP(AK2,Prices!$C$2:$BM$9,8,TRUE)</f>
        <v>59.13</v>
      </c>
      <c r="AL11">
        <f>HLOOKUP(AL2,Prices!$C$2:$BM$9,8,TRUE)</f>
        <v>59.22</v>
      </c>
      <c r="AM11">
        <f>HLOOKUP(AM2,Prices!$C$2:$BM$9,8,TRUE)</f>
        <v>58.89</v>
      </c>
      <c r="AN11">
        <f>HLOOKUP(AN2,Prices!$C$2:$BM$9,8,TRUE)</f>
        <v>58.81</v>
      </c>
      <c r="AO11">
        <f>HLOOKUP(AO2,Prices!$C$2:$BM$9,8,TRUE)</f>
        <v>58.89</v>
      </c>
      <c r="AP11">
        <f>HLOOKUP(AP2,Prices!$C$2:$BM$9,8,TRUE)</f>
        <v>59.185000000000002</v>
      </c>
      <c r="AQ11">
        <f>HLOOKUP(AQ2,Prices!$C$2:$BM$9,8,TRUE)</f>
        <v>58.88</v>
      </c>
      <c r="AR11">
        <f>HLOOKUP(AR2,Prices!$C$2:$BM$9,8,TRUE)</f>
        <v>59.42</v>
      </c>
      <c r="AS11">
        <f>HLOOKUP(AS2,Prices!$C$2:$BM$9,8,TRUE)</f>
        <v>58.65</v>
      </c>
      <c r="AT11">
        <f>HLOOKUP(AT2,Prices!$C$2:$BM$9,8,TRUE)</f>
        <v>58.67</v>
      </c>
      <c r="AU11">
        <f>HLOOKUP(AU2,Prices!$C$2:$BM$9,8,TRUE)</f>
        <v>59.74</v>
      </c>
      <c r="AV11">
        <f>HLOOKUP(AV2,Prices!$C$2:$BM$9,8,TRUE)</f>
        <v>60.335000000000001</v>
      </c>
      <c r="AW11">
        <f>HLOOKUP(AW2,Prices!$C$2:$BM$9,8,TRUE)</f>
        <v>59.88</v>
      </c>
      <c r="AX11">
        <f>HLOOKUP(AX2,Prices!$C$2:$BM$9,8,TRUE)</f>
        <v>59.34</v>
      </c>
      <c r="AY11">
        <f>HLOOKUP(AY2,Prices!$C$2:$BM$9,8,TRUE)</f>
        <v>58.95</v>
      </c>
      <c r="AZ11">
        <f>HLOOKUP(AZ2,Prices!$C$2:$BM$9,8,TRUE)</f>
        <v>59.24</v>
      </c>
      <c r="BA11">
        <f>HLOOKUP(BA2,Prices!$C$2:$BM$9,8,TRUE)</f>
        <v>60.05</v>
      </c>
      <c r="BB11">
        <f>HLOOKUP(BB2,Prices!$C$2:$BM$9,8,TRUE)</f>
        <v>59.64</v>
      </c>
      <c r="BC11">
        <f>HLOOKUP(BC2,Prices!$C$2:$BM$9,8,TRUE)</f>
        <v>60.43</v>
      </c>
      <c r="BD11">
        <f>HLOOKUP(BD2,Prices!$C$2:$BM$9,8,TRUE)</f>
        <v>61.24</v>
      </c>
      <c r="BE11">
        <f>HLOOKUP(BE2,Prices!$C$2:$BM$9,8,TRUE)</f>
        <v>61.42</v>
      </c>
      <c r="BF11">
        <f>HLOOKUP(BF2,Prices!$C$2:$BM$9,8,TRUE)</f>
        <v>60.32</v>
      </c>
      <c r="BG11">
        <f>HLOOKUP(BG2,Prices!$C$2:$BM$9,8,TRUE)</f>
        <v>60.13</v>
      </c>
      <c r="BH11">
        <f>HLOOKUP(BH2,Prices!$C$2:$BM$9,8,TRUE)</f>
        <v>59.4</v>
      </c>
      <c r="BI11">
        <f>HLOOKUP(BI2,Prices!$C$2:$BM$9,8,TRUE)</f>
        <v>58.32</v>
      </c>
      <c r="BJ11">
        <f>HLOOKUP(BJ2,Prices!$C$2:$BM$9,8,TRUE)</f>
        <v>60.03</v>
      </c>
      <c r="BK11">
        <f>HLOOKUP(BK2,Prices!$C$2:$BM$9,8,TRUE)</f>
        <v>60.4</v>
      </c>
      <c r="BL11">
        <f>HLOOKUP(BL2,Prices!$C$2:$BM$9,8,TRUE)</f>
        <v>60.89</v>
      </c>
      <c r="BM11">
        <f>HLOOKUP(BM2,Prices!$C$2:$BM$9,8,TRUE)</f>
        <v>58.48</v>
      </c>
    </row>
    <row r="12" spans="2:65">
      <c r="D12">
        <f t="shared" ref="D12:AI12" si="0">D3/C3-1</f>
        <v>9.043426327412396E-3</v>
      </c>
      <c r="E12">
        <f t="shared" si="0"/>
        <v>2.1076632777483617E-3</v>
      </c>
      <c r="F12">
        <f t="shared" si="0"/>
        <v>-5.1150649785043356E-3</v>
      </c>
      <c r="G12">
        <f t="shared" si="0"/>
        <v>-3.4339046666231887E-3</v>
      </c>
      <c r="H12">
        <f t="shared" si="0"/>
        <v>4.1259466100793674E-3</v>
      </c>
      <c r="I12">
        <f t="shared" si="0"/>
        <v>4.9022407930370271E-3</v>
      </c>
      <c r="J12">
        <f t="shared" si="0"/>
        <v>-1.0406640858242167E-2</v>
      </c>
      <c r="K12">
        <f t="shared" si="0"/>
        <v>4.4486219231789637E-3</v>
      </c>
      <c r="L12">
        <f t="shared" si="0"/>
        <v>1.1465343547071738E-2</v>
      </c>
      <c r="M12">
        <f t="shared" si="0"/>
        <v>2.5832574983248868E-3</v>
      </c>
      <c r="N12">
        <f t="shared" si="0"/>
        <v>9.0855801035993888E-3</v>
      </c>
      <c r="O12">
        <f t="shared" si="0"/>
        <v>2.5895573892045221E-3</v>
      </c>
      <c r="P12">
        <f t="shared" si="0"/>
        <v>-3.864027714755025E-4</v>
      </c>
      <c r="Q12">
        <f t="shared" si="0"/>
        <v>-7.8870309624770041E-3</v>
      </c>
      <c r="R12">
        <f t="shared" si="0"/>
        <v>-6.0833716629249412E-4</v>
      </c>
      <c r="S12">
        <f t="shared" si="0"/>
        <v>-5.6024365121565278E-4</v>
      </c>
      <c r="T12">
        <f t="shared" si="0"/>
        <v>4.928856244057922E-3</v>
      </c>
      <c r="U12">
        <f t="shared" si="0"/>
        <v>6.1336519696633118E-3</v>
      </c>
      <c r="V12">
        <f t="shared" si="0"/>
        <v>3.8032297545089744E-3</v>
      </c>
      <c r="W12">
        <f t="shared" si="0"/>
        <v>-1.3413313748025235E-3</v>
      </c>
      <c r="X12">
        <f t="shared" si="0"/>
        <v>-1.1155891865003431E-2</v>
      </c>
      <c r="Y12">
        <f t="shared" si="0"/>
        <v>-5.8418692028638919E-4</v>
      </c>
      <c r="Z12">
        <f t="shared" si="0"/>
        <v>4.1074281708102234E-3</v>
      </c>
      <c r="AA12">
        <f t="shared" si="0"/>
        <v>4.8478036406010006E-3</v>
      </c>
      <c r="AB12">
        <f t="shared" si="0"/>
        <v>4.9212449750510867E-3</v>
      </c>
      <c r="AC12">
        <f t="shared" si="0"/>
        <v>-3.1162160401730921E-3</v>
      </c>
      <c r="AD12">
        <f t="shared" si="0"/>
        <v>4.0881693717667034E-3</v>
      </c>
      <c r="AE12">
        <f t="shared" si="0"/>
        <v>5.5528136749156687E-3</v>
      </c>
      <c r="AF12">
        <f t="shared" si="0"/>
        <v>2.0906705204157827E-3</v>
      </c>
      <c r="AG12">
        <f t="shared" si="0"/>
        <v>-3.3932728747387841E-4</v>
      </c>
      <c r="AH12">
        <f t="shared" si="0"/>
        <v>1.0415685147232345E-2</v>
      </c>
      <c r="AI12">
        <f t="shared" si="0"/>
        <v>-4.5496117073244857E-3</v>
      </c>
      <c r="AJ12">
        <f t="shared" ref="AJ12:BM12" si="1">AJ3/AI3-1</f>
        <v>4.6149653979730143E-3</v>
      </c>
      <c r="AK12">
        <f t="shared" si="1"/>
        <v>1.4009315017034618E-2</v>
      </c>
      <c r="AL12">
        <f t="shared" si="1"/>
        <v>4.2567443609562439E-3</v>
      </c>
      <c r="AM12">
        <f t="shared" si="1"/>
        <v>-3.1446631416597315E-3</v>
      </c>
      <c r="AN12">
        <f t="shared" si="1"/>
        <v>-1.0760613248746997E-3</v>
      </c>
      <c r="AO12">
        <f t="shared" si="1"/>
        <v>9.8366551362105703E-3</v>
      </c>
      <c r="AP12">
        <f t="shared" si="1"/>
        <v>1.7683200972928859E-3</v>
      </c>
      <c r="AQ12">
        <f t="shared" si="1"/>
        <v>-1.1522308560671712E-2</v>
      </c>
      <c r="AR12">
        <f t="shared" si="1"/>
        <v>1.8603434761503834E-3</v>
      </c>
      <c r="AS12">
        <f t="shared" si="1"/>
        <v>1.5017192003218938E-2</v>
      </c>
      <c r="AT12">
        <f t="shared" si="1"/>
        <v>-3.9653557378286353E-3</v>
      </c>
      <c r="AU12">
        <f t="shared" si="1"/>
        <v>1.3587579837632591E-2</v>
      </c>
      <c r="AV12">
        <f t="shared" si="1"/>
        <v>1.0193732242391729E-3</v>
      </c>
      <c r="AW12">
        <f t="shared" si="1"/>
        <v>4.697065823404234E-3</v>
      </c>
      <c r="AX12">
        <f t="shared" si="1"/>
        <v>3.7037174208409684E-3</v>
      </c>
      <c r="AY12">
        <f t="shared" si="1"/>
        <v>1.8955597175112082E-3</v>
      </c>
      <c r="AZ12">
        <f t="shared" si="1"/>
        <v>8.1107286801316292E-3</v>
      </c>
      <c r="BA12">
        <f t="shared" si="1"/>
        <v>-1.1270132731474591E-3</v>
      </c>
      <c r="BB12">
        <f t="shared" si="1"/>
        <v>3.2137563687923976E-3</v>
      </c>
      <c r="BC12">
        <f t="shared" si="1"/>
        <v>7.7257070338410117E-3</v>
      </c>
      <c r="BD12">
        <f t="shared" si="1"/>
        <v>6.3838344549698167E-3</v>
      </c>
      <c r="BE12">
        <f t="shared" si="1"/>
        <v>-1.9612122234516915E-3</v>
      </c>
      <c r="BF12">
        <f t="shared" si="1"/>
        <v>-9.2112475086358891E-4</v>
      </c>
      <c r="BG12">
        <f t="shared" si="1"/>
        <v>-6.007647679835082E-3</v>
      </c>
      <c r="BH12">
        <f t="shared" si="1"/>
        <v>-1.3572343353694505E-2</v>
      </c>
      <c r="BI12">
        <f t="shared" si="1"/>
        <v>-1.9129831188380519E-2</v>
      </c>
      <c r="BJ12">
        <f t="shared" si="1"/>
        <v>1.3727537160498571E-2</v>
      </c>
      <c r="BK12">
        <f t="shared" si="1"/>
        <v>-2.7597924423952147E-3</v>
      </c>
      <c r="BL12">
        <f t="shared" si="1"/>
        <v>-9.4744162182484049E-3</v>
      </c>
      <c r="BM12">
        <f t="shared" si="1"/>
        <v>-2.0625047023065557E-2</v>
      </c>
    </row>
    <row r="13" spans="2:65">
      <c r="D13">
        <f t="shared" ref="D13:AI13" si="2">D4/C4-1</f>
        <v>8.3226632522408472E-3</v>
      </c>
      <c r="E13">
        <f t="shared" si="2"/>
        <v>4.0404040404040664E-3</v>
      </c>
      <c r="F13">
        <f t="shared" si="2"/>
        <v>-6.8985340615101975E-4</v>
      </c>
      <c r="G13">
        <f t="shared" si="2"/>
        <v>-2.0134614278318752E-3</v>
      </c>
      <c r="H13">
        <f t="shared" si="2"/>
        <v>6.6866497578972339E-3</v>
      </c>
      <c r="I13">
        <f t="shared" si="2"/>
        <v>3.664681630783484E-3</v>
      </c>
      <c r="J13">
        <f t="shared" si="2"/>
        <v>-3.936558649018651E-3</v>
      </c>
      <c r="K13">
        <f t="shared" si="2"/>
        <v>2.9784065524944836E-3</v>
      </c>
      <c r="L13">
        <f t="shared" si="2"/>
        <v>4.2259151390553473E-3</v>
      </c>
      <c r="M13">
        <f t="shared" si="2"/>
        <v>3.0139323286892949E-3</v>
      </c>
      <c r="N13">
        <f t="shared" si="2"/>
        <v>7.0869713119401379E-3</v>
      </c>
      <c r="O13">
        <f t="shared" si="2"/>
        <v>2.7585430389012178E-3</v>
      </c>
      <c r="P13">
        <f t="shared" si="2"/>
        <v>-2.5825286323827301E-3</v>
      </c>
      <c r="Q13">
        <f t="shared" si="2"/>
        <v>-7.9365079365079083E-3</v>
      </c>
      <c r="R13">
        <f t="shared" si="2"/>
        <v>2.4964539007092945E-3</v>
      </c>
      <c r="S13">
        <f t="shared" si="2"/>
        <v>1.3017148678475809E-3</v>
      </c>
      <c r="T13">
        <f t="shared" si="2"/>
        <v>1.186977164820302E-3</v>
      </c>
      <c r="U13">
        <f t="shared" si="2"/>
        <v>3.6131654716875516E-3</v>
      </c>
      <c r="V13">
        <f t="shared" si="2"/>
        <v>6.3002756370589275E-3</v>
      </c>
      <c r="W13">
        <f t="shared" si="2"/>
        <v>-3.6335178042371519E-3</v>
      </c>
      <c r="X13">
        <f t="shared" si="2"/>
        <v>-8.6961400359066854E-3</v>
      </c>
      <c r="Y13">
        <f t="shared" si="2"/>
        <v>-8.4894447903105519E-4</v>
      </c>
      <c r="Z13">
        <f t="shared" si="2"/>
        <v>6.4008156791661719E-3</v>
      </c>
      <c r="AA13">
        <f t="shared" si="2"/>
        <v>3.8836044351888699E-3</v>
      </c>
      <c r="AB13">
        <f t="shared" si="2"/>
        <v>6.2794348508632414E-3</v>
      </c>
      <c r="AC13">
        <f t="shared" si="2"/>
        <v>-2.8972587474926925E-3</v>
      </c>
      <c r="AD13">
        <f t="shared" si="2"/>
        <v>-3.5762181493071976E-3</v>
      </c>
      <c r="AE13">
        <f t="shared" si="2"/>
        <v>3.0282637954239799E-3</v>
      </c>
      <c r="AF13">
        <f t="shared" si="2"/>
        <v>-5.5909650005681044E-5</v>
      </c>
      <c r="AG13">
        <f t="shared" si="2"/>
        <v>-3.242941012021161E-3</v>
      </c>
      <c r="AH13">
        <f t="shared" si="2"/>
        <v>1.0377517249116508E-2</v>
      </c>
      <c r="AI13">
        <f t="shared" si="2"/>
        <v>1.1103708638682264E-4</v>
      </c>
      <c r="AJ13">
        <f t="shared" ref="AJ13:BM13" si="3">AJ4/AI4-1</f>
        <v>2.9421561008105002E-3</v>
      </c>
      <c r="AK13">
        <f t="shared" si="3"/>
        <v>7.9149831183926711E-3</v>
      </c>
      <c r="AL13">
        <f t="shared" si="3"/>
        <v>3.8440417353102774E-3</v>
      </c>
      <c r="AM13">
        <f t="shared" si="3"/>
        <v>-3.3916849015317441E-3</v>
      </c>
      <c r="AN13">
        <f t="shared" si="3"/>
        <v>-1.3173784169503433E-3</v>
      </c>
      <c r="AO13">
        <f t="shared" si="3"/>
        <v>8.1345498515994485E-3</v>
      </c>
      <c r="AP13">
        <f t="shared" si="3"/>
        <v>-1.4175117217315458E-3</v>
      </c>
      <c r="AQ13">
        <f t="shared" si="3"/>
        <v>-1.0264249836208772E-2</v>
      </c>
      <c r="AR13">
        <f t="shared" si="3"/>
        <v>1.9858781994703811E-3</v>
      </c>
      <c r="AS13">
        <f t="shared" si="3"/>
        <v>1.3157894736842257E-2</v>
      </c>
      <c r="AT13">
        <f t="shared" si="3"/>
        <v>-5.5425745802315518E-3</v>
      </c>
      <c r="AU13">
        <f t="shared" si="3"/>
        <v>1.2185126495819931E-2</v>
      </c>
      <c r="AV13">
        <f t="shared" si="3"/>
        <v>-3.7788814510919533E-4</v>
      </c>
      <c r="AW13">
        <f t="shared" si="3"/>
        <v>6.8585624021171299E-3</v>
      </c>
      <c r="AX13">
        <f t="shared" si="3"/>
        <v>2.5745548165629906E-3</v>
      </c>
      <c r="AY13">
        <f t="shared" si="3"/>
        <v>-1.5514658677509008E-3</v>
      </c>
      <c r="AZ13">
        <f t="shared" si="3"/>
        <v>7.7693832717142808E-3</v>
      </c>
      <c r="BA13">
        <f t="shared" si="3"/>
        <v>-2.9774564015312421E-3</v>
      </c>
      <c r="BB13">
        <f t="shared" si="3"/>
        <v>3.3596416382253302E-3</v>
      </c>
      <c r="BC13">
        <f t="shared" si="3"/>
        <v>6.6436353972894047E-3</v>
      </c>
      <c r="BD13">
        <f t="shared" si="3"/>
        <v>8.9757127771910028E-3</v>
      </c>
      <c r="BE13">
        <f t="shared" si="3"/>
        <v>-4.7095761381477086E-4</v>
      </c>
      <c r="BF13">
        <f t="shared" si="3"/>
        <v>5.7588607926284396E-4</v>
      </c>
      <c r="BG13">
        <f t="shared" si="3"/>
        <v>-3.4010046044370412E-3</v>
      </c>
      <c r="BH13">
        <f t="shared" si="3"/>
        <v>-1.0447839554785565E-2</v>
      </c>
      <c r="BI13">
        <f t="shared" si="3"/>
        <v>-1.6924872665534774E-2</v>
      </c>
      <c r="BJ13">
        <f t="shared" si="3"/>
        <v>1.1819310270386962E-2</v>
      </c>
      <c r="BK13">
        <f t="shared" si="3"/>
        <v>-4.3204608491572705E-3</v>
      </c>
      <c r="BL13">
        <f t="shared" si="3"/>
        <v>-7.9284298494669558E-3</v>
      </c>
      <c r="BM13">
        <f t="shared" si="3"/>
        <v>-1.268967006857824E-2</v>
      </c>
    </row>
    <row r="14" spans="2:65">
      <c r="D14">
        <f t="shared" ref="D14:AI14" si="4">D5/C5-1</f>
        <v>9.6623605788856981E-3</v>
      </c>
      <c r="E14">
        <f t="shared" si="4"/>
        <v>3.70405391746087E-3</v>
      </c>
      <c r="F14">
        <f t="shared" si="4"/>
        <v>-1.1857309462782739E-3</v>
      </c>
      <c r="G14">
        <f t="shared" si="4"/>
        <v>7.0252584059171674E-4</v>
      </c>
      <c r="H14">
        <f t="shared" si="4"/>
        <v>2.7301269509030224E-3</v>
      </c>
      <c r="I14">
        <f t="shared" si="4"/>
        <v>2.5606285532773221E-3</v>
      </c>
      <c r="J14">
        <f t="shared" si="4"/>
        <v>-1.9624452002533488E-3</v>
      </c>
      <c r="K14">
        <f t="shared" si="4"/>
        <v>1.5646207819215441E-3</v>
      </c>
      <c r="L14">
        <f t="shared" si="4"/>
        <v>7.1155040364301314E-4</v>
      </c>
      <c r="M14">
        <f t="shared" si="4"/>
        <v>8.3709325024883263E-4</v>
      </c>
      <c r="N14">
        <f t="shared" si="4"/>
        <v>7.6954624866387711E-3</v>
      </c>
      <c r="O14">
        <f t="shared" si="4"/>
        <v>5.0313094864229413E-4</v>
      </c>
      <c r="P14">
        <f t="shared" si="4"/>
        <v>-5.9256317203881803E-4</v>
      </c>
      <c r="Q14">
        <f t="shared" si="4"/>
        <v>-3.7561935529359936E-3</v>
      </c>
      <c r="R14">
        <f t="shared" si="4"/>
        <v>-1.5827773238195064E-3</v>
      </c>
      <c r="S14">
        <f t="shared" si="4"/>
        <v>2.1749357185665286E-3</v>
      </c>
      <c r="T14">
        <f t="shared" si="4"/>
        <v>7.5073385439943241E-3</v>
      </c>
      <c r="U14">
        <f t="shared" si="4"/>
        <v>2.1955297992111156E-3</v>
      </c>
      <c r="V14">
        <f t="shared" si="4"/>
        <v>4.1744679225097503E-3</v>
      </c>
      <c r="W14">
        <f t="shared" si="4"/>
        <v>-4.0112505271703291E-3</v>
      </c>
      <c r="X14">
        <f t="shared" si="4"/>
        <v>-8.6310641901572449E-3</v>
      </c>
      <c r="Y14">
        <f t="shared" si="4"/>
        <v>-6.6380420505672832E-3</v>
      </c>
      <c r="Z14">
        <f t="shared" si="4"/>
        <v>6.323548428811776E-3</v>
      </c>
      <c r="AA14">
        <f t="shared" si="4"/>
        <v>1.500276282141666E-3</v>
      </c>
      <c r="AB14">
        <f t="shared" si="4"/>
        <v>9.1357303933048417E-3</v>
      </c>
      <c r="AC14">
        <f t="shared" si="4"/>
        <v>-3.1628368262283102E-3</v>
      </c>
      <c r="AD14">
        <f t="shared" si="4"/>
        <v>-1.0969527672547441E-3</v>
      </c>
      <c r="AE14">
        <f t="shared" si="4"/>
        <v>2.9082017034209873E-3</v>
      </c>
      <c r="AF14">
        <f t="shared" si="4"/>
        <v>8.5751663945150547E-3</v>
      </c>
      <c r="AG14">
        <f t="shared" si="4"/>
        <v>7.258794976916505E-5</v>
      </c>
      <c r="AH14">
        <f t="shared" si="4"/>
        <v>7.1478162080280683E-3</v>
      </c>
      <c r="AI14">
        <f t="shared" si="4"/>
        <v>3.3527080167328194E-4</v>
      </c>
      <c r="AJ14">
        <f t="shared" ref="AJ14:BM14" si="5">AJ5/AI5-1</f>
        <v>-4.3226040870536497E-4</v>
      </c>
      <c r="AK14">
        <f t="shared" si="5"/>
        <v>4.4592214694434418E-3</v>
      </c>
      <c r="AL14">
        <f t="shared" si="5"/>
        <v>4.9448269622538454E-3</v>
      </c>
      <c r="AM14">
        <f t="shared" si="5"/>
        <v>8.6613146571812294E-4</v>
      </c>
      <c r="AN14">
        <f t="shared" si="5"/>
        <v>-1.9540882317370389E-4</v>
      </c>
      <c r="AO14">
        <f t="shared" si="5"/>
        <v>5.1281573999961694E-3</v>
      </c>
      <c r="AP14">
        <f t="shared" si="5"/>
        <v>3.3951560382883272E-5</v>
      </c>
      <c r="AQ14">
        <f t="shared" si="5"/>
        <v>-5.7808285134042237E-3</v>
      </c>
      <c r="AR14">
        <f t="shared" si="5"/>
        <v>2.9460247292234509E-3</v>
      </c>
      <c r="AS14">
        <f t="shared" si="5"/>
        <v>8.3787815945375321E-3</v>
      </c>
      <c r="AT14">
        <f t="shared" si="5"/>
        <v>-7.059870773669763E-3</v>
      </c>
      <c r="AU14">
        <f t="shared" si="5"/>
        <v>3.5333941295578875E-3</v>
      </c>
      <c r="AV14">
        <f t="shared" si="5"/>
        <v>-2.8032085956850583E-3</v>
      </c>
      <c r="AW14">
        <f t="shared" si="5"/>
        <v>4.9024150649641385E-3</v>
      </c>
      <c r="AX14">
        <f t="shared" si="5"/>
        <v>6.6552927252885308E-3</v>
      </c>
      <c r="AY14">
        <f t="shared" si="5"/>
        <v>-2.8552233792408233E-3</v>
      </c>
      <c r="AZ14">
        <f t="shared" si="5"/>
        <v>6.9762812562206289E-3</v>
      </c>
      <c r="BA14">
        <f t="shared" si="5"/>
        <v>-1.5145386587512855E-3</v>
      </c>
      <c r="BB14">
        <f t="shared" si="5"/>
        <v>1.870155186330269E-3</v>
      </c>
      <c r="BC14">
        <f t="shared" si="5"/>
        <v>8.3665471879950104E-3</v>
      </c>
      <c r="BD14">
        <f t="shared" si="5"/>
        <v>3.862144651035182E-3</v>
      </c>
      <c r="BE14">
        <f t="shared" si="5"/>
        <v>-2.6519542770646609E-3</v>
      </c>
      <c r="BF14">
        <f t="shared" si="5"/>
        <v>2.8908783753256451E-4</v>
      </c>
      <c r="BG14">
        <f t="shared" si="5"/>
        <v>1.1409648528637462E-3</v>
      </c>
      <c r="BH14">
        <f t="shared" si="5"/>
        <v>-9.0421405245464381E-3</v>
      </c>
      <c r="BI14">
        <f t="shared" si="5"/>
        <v>-1.5730684849202037E-2</v>
      </c>
      <c r="BJ14">
        <f t="shared" si="5"/>
        <v>1.0053551114029613E-2</v>
      </c>
      <c r="BK14">
        <f t="shared" si="5"/>
        <v>-8.6684736160957954E-4</v>
      </c>
      <c r="BL14">
        <f t="shared" si="5"/>
        <v>3.1343557157694768E-3</v>
      </c>
      <c r="BM14">
        <f t="shared" si="5"/>
        <v>-1.7705852615678808E-2</v>
      </c>
    </row>
    <row r="15" spans="2:65">
      <c r="D15">
        <f t="shared" ref="D15:BM15" si="6">D6/C6-1</f>
        <v>1.0279154709105232E-2</v>
      </c>
      <c r="E15">
        <f t="shared" si="6"/>
        <v>5.6812312777605456E-3</v>
      </c>
      <c r="F15">
        <f t="shared" si="6"/>
        <v>-2.0542317173377622E-3</v>
      </c>
      <c r="G15">
        <f t="shared" si="6"/>
        <v>-1.4254837381638463E-2</v>
      </c>
      <c r="H15">
        <f t="shared" si="6"/>
        <v>-5.8992430174890087E-3</v>
      </c>
      <c r="I15">
        <f t="shared" si="6"/>
        <v>2.205650666946779E-3</v>
      </c>
      <c r="J15">
        <f t="shared" si="6"/>
        <v>-6.4451896876964732E-3</v>
      </c>
      <c r="K15">
        <f t="shared" si="6"/>
        <v>2.5631559516902991E-2</v>
      </c>
      <c r="L15">
        <f t="shared" si="6"/>
        <v>-6.5819920810408217E-3</v>
      </c>
      <c r="M15">
        <f t="shared" si="6"/>
        <v>-2.0705005435062152E-4</v>
      </c>
      <c r="N15">
        <f t="shared" si="6"/>
        <v>1.0095780481490957E-2</v>
      </c>
      <c r="O15">
        <f t="shared" si="6"/>
        <v>1.178882624295241E-2</v>
      </c>
      <c r="P15">
        <f t="shared" si="6"/>
        <v>9.7264437689970062E-3</v>
      </c>
      <c r="Q15">
        <f t="shared" si="6"/>
        <v>-9.0808749749147211E-3</v>
      </c>
      <c r="R15">
        <f t="shared" si="6"/>
        <v>2.1264746088807129E-3</v>
      </c>
      <c r="S15">
        <f t="shared" si="6"/>
        <v>4.4965391805182886E-3</v>
      </c>
      <c r="T15">
        <f t="shared" si="6"/>
        <v>4.8787848304998604E-3</v>
      </c>
      <c r="U15">
        <f t="shared" si="6"/>
        <v>-4.1043095250011818E-3</v>
      </c>
      <c r="V15">
        <f t="shared" si="6"/>
        <v>1.5228426395939021E-2</v>
      </c>
      <c r="W15">
        <f t="shared" si="6"/>
        <v>-1.7821782178218948E-3</v>
      </c>
      <c r="X15">
        <f t="shared" si="6"/>
        <v>-9.6211069232294832E-3</v>
      </c>
      <c r="Y15">
        <f t="shared" si="6"/>
        <v>-4.4066099148722948E-3</v>
      </c>
      <c r="Z15">
        <f t="shared" si="6"/>
        <v>-5.5326425912882726E-4</v>
      </c>
      <c r="AA15">
        <f t="shared" si="6"/>
        <v>3.2710985858790398E-3</v>
      </c>
      <c r="AB15">
        <f t="shared" si="6"/>
        <v>8.47712680577839E-3</v>
      </c>
      <c r="AC15">
        <f t="shared" si="6"/>
        <v>1.4424272569011354E-3</v>
      </c>
      <c r="AD15">
        <f t="shared" si="6"/>
        <v>-2.3343597894109891E-3</v>
      </c>
      <c r="AE15">
        <f t="shared" si="6"/>
        <v>6.919898441778205E-3</v>
      </c>
      <c r="AF15">
        <f t="shared" si="6"/>
        <v>-2.7242163551863929E-2</v>
      </c>
      <c r="AG15">
        <f t="shared" si="6"/>
        <v>-1.3418043202032992E-2</v>
      </c>
      <c r="AH15">
        <f t="shared" si="6"/>
        <v>1.9628045953325346E-2</v>
      </c>
      <c r="AI15">
        <f t="shared" si="6"/>
        <v>2.374696847210922E-3</v>
      </c>
      <c r="AJ15">
        <f t="shared" si="6"/>
        <v>2.0716769998487816E-2</v>
      </c>
      <c r="AK15">
        <f t="shared" si="6"/>
        <v>1.7580246913580178E-2</v>
      </c>
      <c r="AL15">
        <f t="shared" si="6"/>
        <v>1.1647093079685256E-3</v>
      </c>
      <c r="AM15">
        <f t="shared" si="6"/>
        <v>-5.8167716917112422E-4</v>
      </c>
      <c r="AN15">
        <f t="shared" si="6"/>
        <v>-5.1411388107478473E-3</v>
      </c>
      <c r="AO15">
        <f t="shared" si="6"/>
        <v>1.3016770670826849E-2</v>
      </c>
      <c r="AP15">
        <f t="shared" si="6"/>
        <v>1.4918908513403828E-3</v>
      </c>
      <c r="AQ15">
        <f t="shared" si="6"/>
        <v>-1.7731859682844742E-2</v>
      </c>
      <c r="AR15">
        <f t="shared" si="6"/>
        <v>4.1093879947164957E-3</v>
      </c>
      <c r="AS15">
        <f t="shared" si="6"/>
        <v>2.2070645554202128E-2</v>
      </c>
      <c r="AT15">
        <f t="shared" si="6"/>
        <v>-5.29125750786541E-3</v>
      </c>
      <c r="AU15">
        <f t="shared" si="6"/>
        <v>1.8833564959026328E-2</v>
      </c>
      <c r="AV15">
        <f t="shared" si="6"/>
        <v>2.1636876763875268E-3</v>
      </c>
      <c r="AW15">
        <f t="shared" si="6"/>
        <v>1.0137989298788952E-2</v>
      </c>
      <c r="AX15">
        <f t="shared" si="6"/>
        <v>1.4310937645200417E-2</v>
      </c>
      <c r="AY15">
        <f t="shared" si="6"/>
        <v>-1.0994044892350674E-3</v>
      </c>
      <c r="AZ15">
        <f t="shared" si="6"/>
        <v>1.7655691094194292E-2</v>
      </c>
      <c r="BA15">
        <f t="shared" si="6"/>
        <v>-1.284304447749085E-2</v>
      </c>
      <c r="BB15">
        <f t="shared" si="6"/>
        <v>9.5407650871908167E-3</v>
      </c>
      <c r="BC15">
        <f t="shared" si="6"/>
        <v>2.8035270178612404E-3</v>
      </c>
      <c r="BD15">
        <f t="shared" si="6"/>
        <v>1.6683951841998113E-3</v>
      </c>
      <c r="BE15">
        <f t="shared" si="6"/>
        <v>-3.1511659313945284E-3</v>
      </c>
      <c r="BF15">
        <f t="shared" si="6"/>
        <v>-5.4190751445093444E-4</v>
      </c>
      <c r="BG15">
        <f t="shared" si="6"/>
        <v>-7.0486173865895729E-3</v>
      </c>
      <c r="BH15">
        <f t="shared" si="6"/>
        <v>-8.2817619220968419E-3</v>
      </c>
      <c r="BI15">
        <f t="shared" si="6"/>
        <v>-1.4086445810773562E-2</v>
      </c>
      <c r="BJ15">
        <f t="shared" si="6"/>
        <v>1.358961232373046E-2</v>
      </c>
      <c r="BK15">
        <f t="shared" si="6"/>
        <v>2.4978189999540934E-2</v>
      </c>
      <c r="BL15">
        <f t="shared" si="6"/>
        <v>-6.1371679433767867E-2</v>
      </c>
      <c r="BM15">
        <f t="shared" si="6"/>
        <v>-3.636710733546511E-2</v>
      </c>
    </row>
    <row r="16" spans="2:65">
      <c r="D16">
        <f t="shared" ref="D16:BM16" si="7">D7/C7-1</f>
        <v>1.3700506918756794E-4</v>
      </c>
      <c r="E16">
        <f t="shared" si="7"/>
        <v>-2.4520547945205529E-2</v>
      </c>
      <c r="F16">
        <f t="shared" si="7"/>
        <v>-3.4264850442353612E-2</v>
      </c>
      <c r="G16">
        <f t="shared" si="7"/>
        <v>-2.5156318161989044E-2</v>
      </c>
      <c r="H16">
        <f t="shared" si="7"/>
        <v>3.9677804295942698E-2</v>
      </c>
      <c r="I16">
        <f t="shared" si="7"/>
        <v>-8.8952654232424822E-3</v>
      </c>
      <c r="J16">
        <f t="shared" si="7"/>
        <v>-5.6456282570932492E-3</v>
      </c>
      <c r="K16">
        <f t="shared" si="7"/>
        <v>-4.0762847576066852E-3</v>
      </c>
      <c r="L16">
        <f t="shared" si="7"/>
        <v>4.2391463236370885E-3</v>
      </c>
      <c r="M16">
        <f t="shared" si="7"/>
        <v>9.898107714701565E-3</v>
      </c>
      <c r="N16">
        <f t="shared" si="7"/>
        <v>1.0089362928797918E-2</v>
      </c>
      <c r="O16">
        <f t="shared" si="7"/>
        <v>1.4412100456621113E-2</v>
      </c>
      <c r="P16">
        <f t="shared" si="7"/>
        <v>1.0831340554227076E-2</v>
      </c>
      <c r="Q16">
        <f t="shared" si="7"/>
        <v>-1.9343167269691097E-2</v>
      </c>
      <c r="R16">
        <f t="shared" si="7"/>
        <v>-6.1018873279408137E-3</v>
      </c>
      <c r="S16">
        <f t="shared" si="7"/>
        <v>-2.4271844660194164E-3</v>
      </c>
      <c r="T16">
        <f t="shared" si="7"/>
        <v>-8.4442536138543689E-3</v>
      </c>
      <c r="U16">
        <f t="shared" si="7"/>
        <v>1.5733256351039282E-2</v>
      </c>
      <c r="V16">
        <f t="shared" si="7"/>
        <v>-3.1263322438539465E-3</v>
      </c>
      <c r="W16">
        <f t="shared" si="7"/>
        <v>4.7042052744119545E-3</v>
      </c>
      <c r="X16">
        <f t="shared" si="7"/>
        <v>-2.9228149829738981E-2</v>
      </c>
      <c r="Y16">
        <f t="shared" si="7"/>
        <v>-2.3384975153463161E-3</v>
      </c>
      <c r="Z16">
        <f t="shared" si="7"/>
        <v>-4.1019630823322384E-3</v>
      </c>
      <c r="AA16">
        <f t="shared" si="7"/>
        <v>2.2065313327448433E-3</v>
      </c>
      <c r="AB16">
        <f t="shared" si="7"/>
        <v>-3.8162336709230971E-3</v>
      </c>
      <c r="AC16">
        <f t="shared" si="7"/>
        <v>-8.8404302342715013E-4</v>
      </c>
      <c r="AD16">
        <f t="shared" si="7"/>
        <v>6.4887184781006191E-3</v>
      </c>
      <c r="AE16">
        <f t="shared" si="7"/>
        <v>5.4212454212454464E-3</v>
      </c>
      <c r="AF16">
        <f t="shared" si="7"/>
        <v>6.8493150684931781E-3</v>
      </c>
      <c r="AG16">
        <f t="shared" si="7"/>
        <v>4.0816326530612068E-2</v>
      </c>
      <c r="AH16">
        <f t="shared" si="7"/>
        <v>5.5625086914199429E-3</v>
      </c>
      <c r="AI16">
        <f t="shared" si="7"/>
        <v>-1.7563269257364067E-2</v>
      </c>
      <c r="AJ16">
        <f t="shared" si="7"/>
        <v>2.8153153153152033E-3</v>
      </c>
      <c r="AK16">
        <f t="shared" si="7"/>
        <v>8.5766423357664268E-2</v>
      </c>
      <c r="AL16">
        <f t="shared" si="7"/>
        <v>3.2449903038138439E-2</v>
      </c>
      <c r="AM16">
        <f t="shared" si="7"/>
        <v>4.0070122714752632E-3</v>
      </c>
      <c r="AN16">
        <f t="shared" si="7"/>
        <v>9.4786729857818663E-3</v>
      </c>
      <c r="AO16">
        <f t="shared" si="7"/>
        <v>1.9397084259945796E-2</v>
      </c>
      <c r="AP16">
        <f t="shared" si="7"/>
        <v>1.8422009453399557E-2</v>
      </c>
      <c r="AQ16">
        <f t="shared" si="7"/>
        <v>-1.2495537308104265E-2</v>
      </c>
      <c r="AR16">
        <f t="shared" si="7"/>
        <v>-1.0484454085321837E-2</v>
      </c>
      <c r="AS16">
        <f t="shared" si="7"/>
        <v>2.5331871879186396E-2</v>
      </c>
      <c r="AT16">
        <f t="shared" si="7"/>
        <v>-1.0690105713268006E-3</v>
      </c>
      <c r="AU16">
        <f t="shared" si="7"/>
        <v>2.6159334126041323E-3</v>
      </c>
      <c r="AV16">
        <f t="shared" si="7"/>
        <v>-5.9297912713472956E-3</v>
      </c>
      <c r="AW16">
        <f t="shared" si="7"/>
        <v>1.4674302075876833E-2</v>
      </c>
      <c r="AX16">
        <f t="shared" si="7"/>
        <v>8.2304526748970819E-3</v>
      </c>
      <c r="AY16">
        <f t="shared" si="7"/>
        <v>1.6093294460641339E-2</v>
      </c>
      <c r="AZ16">
        <f t="shared" si="7"/>
        <v>2.811890278893614E-2</v>
      </c>
      <c r="BA16">
        <f t="shared" si="7"/>
        <v>1.5628488501897575E-3</v>
      </c>
      <c r="BB16">
        <f t="shared" si="7"/>
        <v>1.5381185911725215E-2</v>
      </c>
      <c r="BC16">
        <f t="shared" si="7"/>
        <v>1.4818880351262553E-2</v>
      </c>
      <c r="BD16">
        <f t="shared" si="7"/>
        <v>-1.4494321254732379E-2</v>
      </c>
      <c r="BE16">
        <f t="shared" si="7"/>
        <v>-1.4927011305015947E-2</v>
      </c>
      <c r="BF16">
        <f t="shared" si="7"/>
        <v>-2.1169916434540248E-3</v>
      </c>
      <c r="BG16">
        <f t="shared" si="7"/>
        <v>-1.2170611880303772E-2</v>
      </c>
      <c r="BH16">
        <f t="shared" si="7"/>
        <v>-3.2779473267774417E-2</v>
      </c>
      <c r="BI16">
        <f t="shared" si="7"/>
        <v>-1.425733317751543E-2</v>
      </c>
      <c r="BJ16">
        <f t="shared" si="7"/>
        <v>-4.623592175459379E-3</v>
      </c>
      <c r="BK16">
        <f t="shared" si="7"/>
        <v>-3.4897570271557821E-2</v>
      </c>
      <c r="BL16">
        <f t="shared" si="7"/>
        <v>2.4682216463034479E-4</v>
      </c>
      <c r="BM16">
        <f t="shared" si="7"/>
        <v>-3.4916718075262199E-2</v>
      </c>
    </row>
    <row r="17" spans="2:68">
      <c r="D17">
        <f t="shared" ref="D17:BM17" si="8">D8/C8-1</f>
        <v>1.195115614445319E-2</v>
      </c>
      <c r="E17">
        <f t="shared" si="8"/>
        <v>-1.540436456996197E-3</v>
      </c>
      <c r="F17">
        <f t="shared" si="8"/>
        <v>7.1997942915917879E-3</v>
      </c>
      <c r="G17">
        <f t="shared" si="8"/>
        <v>2.0423793719683836E-3</v>
      </c>
      <c r="H17">
        <f t="shared" si="8"/>
        <v>4.331210191082846E-3</v>
      </c>
      <c r="I17">
        <f t="shared" si="8"/>
        <v>-1.0147133434804667E-3</v>
      </c>
      <c r="J17">
        <f t="shared" si="8"/>
        <v>-2.5393600812606554E-4</v>
      </c>
      <c r="K17">
        <f t="shared" si="8"/>
        <v>-5.080010160020243E-3</v>
      </c>
      <c r="L17">
        <f t="shared" si="8"/>
        <v>-2.5529742149621448E-4</v>
      </c>
      <c r="M17">
        <f t="shared" si="8"/>
        <v>-5.3626149131765777E-3</v>
      </c>
      <c r="N17">
        <f t="shared" si="8"/>
        <v>1.4120667522464547E-2</v>
      </c>
      <c r="O17">
        <f t="shared" si="8"/>
        <v>3.2911392405063911E-3</v>
      </c>
      <c r="P17">
        <f t="shared" si="8"/>
        <v>-4.1130456724703612E-2</v>
      </c>
      <c r="Q17">
        <f t="shared" si="8"/>
        <v>-2.1578947368421031E-2</v>
      </c>
      <c r="R17">
        <f t="shared" si="8"/>
        <v>1.1296395911780666E-2</v>
      </c>
      <c r="S17">
        <f t="shared" si="8"/>
        <v>3.9893617021276029E-3</v>
      </c>
      <c r="T17">
        <f t="shared" si="8"/>
        <v>-1.2980132450331139E-2</v>
      </c>
      <c r="U17">
        <f t="shared" si="8"/>
        <v>3.7573805689747886E-3</v>
      </c>
      <c r="V17">
        <f t="shared" si="8"/>
        <v>6.9518716577539053E-3</v>
      </c>
      <c r="W17">
        <f t="shared" si="8"/>
        <v>-7.4349442379180175E-3</v>
      </c>
      <c r="X17">
        <f t="shared" si="8"/>
        <v>-1.6051364365972098E-3</v>
      </c>
      <c r="Y17">
        <f t="shared" si="8"/>
        <v>6.1629153269022741E-3</v>
      </c>
      <c r="Z17">
        <f t="shared" si="8"/>
        <v>1.4647137150466172E-2</v>
      </c>
      <c r="AA17">
        <f t="shared" si="8"/>
        <v>2.3622047244094002E-3</v>
      </c>
      <c r="AB17">
        <f t="shared" si="8"/>
        <v>2.6184865147960146E-4</v>
      </c>
      <c r="AC17">
        <f t="shared" si="8"/>
        <v>-4.1884816753927634E-3</v>
      </c>
      <c r="AD17">
        <f t="shared" si="8"/>
        <v>5.2576235541534899E-4</v>
      </c>
      <c r="AE17">
        <f t="shared" si="8"/>
        <v>2.8901734104045396E-3</v>
      </c>
      <c r="AF17">
        <f t="shared" si="8"/>
        <v>4.7157453497510549E-3</v>
      </c>
      <c r="AG17">
        <f t="shared" si="8"/>
        <v>-2.3468057366363704E-3</v>
      </c>
      <c r="AH17">
        <f t="shared" si="8"/>
        <v>8.6251960271825912E-3</v>
      </c>
      <c r="AI17">
        <f t="shared" si="8"/>
        <v>-2.3322104172066593E-3</v>
      </c>
      <c r="AJ17">
        <f t="shared" si="8"/>
        <v>6.2337662337663691E-3</v>
      </c>
      <c r="AK17">
        <f t="shared" si="8"/>
        <v>4.9044914816727125E-3</v>
      </c>
      <c r="AL17">
        <f t="shared" si="8"/>
        <v>5.6511687644489328E-3</v>
      </c>
      <c r="AM17">
        <f t="shared" si="8"/>
        <v>-2.0434227330778931E-3</v>
      </c>
      <c r="AN17">
        <f t="shared" si="8"/>
        <v>-2.8154594317890691E-3</v>
      </c>
      <c r="AO17">
        <f t="shared" si="8"/>
        <v>5.1334702258725162E-3</v>
      </c>
      <c r="AP17">
        <f t="shared" si="8"/>
        <v>2.0429009193054792E-3</v>
      </c>
      <c r="AQ17">
        <f t="shared" si="8"/>
        <v>-5.0968399592253855E-3</v>
      </c>
      <c r="AR17">
        <f t="shared" si="8"/>
        <v>1.0245901639343025E-3</v>
      </c>
      <c r="AS17">
        <f t="shared" si="8"/>
        <v>-5.6294779938587114E-3</v>
      </c>
      <c r="AT17">
        <f t="shared" si="8"/>
        <v>5.1466803911477399E-3</v>
      </c>
      <c r="AU17">
        <f t="shared" si="8"/>
        <v>1.0240655401945187E-3</v>
      </c>
      <c r="AV17">
        <f t="shared" si="8"/>
        <v>3.8363171355497716E-3</v>
      </c>
      <c r="AW17">
        <f t="shared" si="8"/>
        <v>3.0573248407643749E-3</v>
      </c>
      <c r="AX17">
        <f t="shared" si="8"/>
        <v>-1.4478028956057876E-2</v>
      </c>
      <c r="AY17">
        <f t="shared" si="8"/>
        <v>-5.9278350515462597E-3</v>
      </c>
      <c r="AZ17">
        <f t="shared" si="8"/>
        <v>-1.2185636505055664E-2</v>
      </c>
      <c r="BA17">
        <f t="shared" si="8"/>
        <v>-2.6246719160094578E-4</v>
      </c>
      <c r="BB17">
        <f t="shared" si="8"/>
        <v>-5.7757941716987116E-3</v>
      </c>
      <c r="BC17">
        <f t="shared" si="8"/>
        <v>4.2249801954055144E-3</v>
      </c>
      <c r="BD17">
        <f t="shared" si="8"/>
        <v>9.2032605837497616E-3</v>
      </c>
      <c r="BE17">
        <f t="shared" si="8"/>
        <v>3.6477331943720603E-3</v>
      </c>
      <c r="BF17">
        <f t="shared" si="8"/>
        <v>1.349948078920038E-2</v>
      </c>
      <c r="BG17">
        <f t="shared" si="8"/>
        <v>-1.0502049180327822E-2</v>
      </c>
      <c r="BH17">
        <f t="shared" si="8"/>
        <v>-3.3652601604970966E-3</v>
      </c>
      <c r="BI17">
        <f t="shared" si="8"/>
        <v>-6.4935064935064402E-3</v>
      </c>
      <c r="BJ17">
        <f t="shared" si="8"/>
        <v>8.6274509803920818E-3</v>
      </c>
      <c r="BK17">
        <f t="shared" si="8"/>
        <v>-3.9657853810264432E-2</v>
      </c>
      <c r="BL17">
        <f t="shared" si="8"/>
        <v>1.025641025641022E-2</v>
      </c>
      <c r="BM17">
        <f t="shared" si="8"/>
        <v>5.0761421319795996E-3</v>
      </c>
    </row>
    <row r="18" spans="2:68">
      <c r="D18">
        <f t="shared" ref="D18:BM18" si="9">D9/C9-1</f>
        <v>1.0684779154750634E-2</v>
      </c>
      <c r="E18">
        <f t="shared" si="9"/>
        <v>1.3645116918844513E-2</v>
      </c>
      <c r="F18">
        <f t="shared" si="9"/>
        <v>1.4190336613395527E-3</v>
      </c>
      <c r="G18">
        <f t="shared" si="9"/>
        <v>-3.3296165520668719E-4</v>
      </c>
      <c r="H18">
        <f t="shared" si="9"/>
        <v>1.2339176303824084E-2</v>
      </c>
      <c r="I18">
        <f t="shared" si="9"/>
        <v>1.5762008967512564E-3</v>
      </c>
      <c r="J18">
        <f t="shared" si="9"/>
        <v>-8.1894576012223608E-3</v>
      </c>
      <c r="K18">
        <f t="shared" si="9"/>
        <v>-8.2416735989154777E-4</v>
      </c>
      <c r="L18">
        <f t="shared" si="9"/>
        <v>-7.9401176370819115E-4</v>
      </c>
      <c r="M18">
        <f t="shared" si="9"/>
        <v>1.0006326281843503E-2</v>
      </c>
      <c r="N18">
        <f t="shared" si="9"/>
        <v>1.8630409044036123E-2</v>
      </c>
      <c r="O18">
        <f t="shared" si="9"/>
        <v>-1.0273407621818609E-2</v>
      </c>
      <c r="P18">
        <f t="shared" si="9"/>
        <v>-5.4930900715238762E-3</v>
      </c>
      <c r="Q18">
        <f t="shared" si="9"/>
        <v>-8.1746775459207166E-3</v>
      </c>
      <c r="R18">
        <f t="shared" si="9"/>
        <v>-1.3211866099271941E-3</v>
      </c>
      <c r="S18">
        <f t="shared" si="9"/>
        <v>-4.9763871583060615E-3</v>
      </c>
      <c r="T18">
        <f t="shared" si="9"/>
        <v>9.2527460635247749E-3</v>
      </c>
      <c r="U18">
        <f t="shared" si="9"/>
        <v>5.6370821972364649E-3</v>
      </c>
      <c r="V18">
        <f t="shared" si="9"/>
        <v>-6.6260472201062903E-4</v>
      </c>
      <c r="W18">
        <f t="shared" si="9"/>
        <v>-6.1274416406912335E-3</v>
      </c>
      <c r="X18">
        <f t="shared" si="9"/>
        <v>-1.1678641811531443E-2</v>
      </c>
      <c r="Y18">
        <f t="shared" si="9"/>
        <v>4.5621712210792698E-3</v>
      </c>
      <c r="Z18">
        <f t="shared" si="9"/>
        <v>1.8691011322736539E-2</v>
      </c>
      <c r="AA18">
        <f t="shared" si="9"/>
        <v>6.0806405143525311E-3</v>
      </c>
      <c r="AB18">
        <f t="shared" si="9"/>
        <v>9.3672755772593597E-3</v>
      </c>
      <c r="AC18">
        <f t="shared" si="9"/>
        <v>2.6877907106965804E-3</v>
      </c>
      <c r="AD18">
        <f t="shared" si="9"/>
        <v>-7.4460718248015034E-5</v>
      </c>
      <c r="AE18">
        <f t="shared" si="9"/>
        <v>1.0127411776092998E-3</v>
      </c>
      <c r="AF18">
        <f t="shared" si="9"/>
        <v>3.1541751906267734E-3</v>
      </c>
      <c r="AG18">
        <f t="shared" si="9"/>
        <v>-1.2013437252038628E-3</v>
      </c>
      <c r="AH18">
        <f t="shared" si="9"/>
        <v>1.0268251575876075E-2</v>
      </c>
      <c r="AI18">
        <f t="shared" si="9"/>
        <v>-4.2698611009038823E-3</v>
      </c>
      <c r="AJ18">
        <f t="shared" si="9"/>
        <v>-2.1994405449888843E-3</v>
      </c>
      <c r="AK18">
        <f t="shared" si="9"/>
        <v>3.3508147731726723E-3</v>
      </c>
      <c r="AL18">
        <f t="shared" si="9"/>
        <v>-3.8483088083512973E-3</v>
      </c>
      <c r="AM18">
        <f t="shared" si="9"/>
        <v>-4.3664244164531851E-4</v>
      </c>
      <c r="AN18">
        <f t="shared" si="9"/>
        <v>-4.5904503824141241E-3</v>
      </c>
      <c r="AO18">
        <f t="shared" si="9"/>
        <v>1.3418325982014645E-2</v>
      </c>
      <c r="AP18">
        <f t="shared" si="9"/>
        <v>-5.7469155284152196E-3</v>
      </c>
      <c r="AQ18">
        <f t="shared" si="9"/>
        <v>-1.1021378373590074E-2</v>
      </c>
      <c r="AR18">
        <f t="shared" si="9"/>
        <v>-2.388576632256223E-4</v>
      </c>
      <c r="AS18">
        <f t="shared" si="9"/>
        <v>2.1868163865640389E-2</v>
      </c>
      <c r="AT18">
        <f t="shared" si="9"/>
        <v>-5.2313177660228138E-3</v>
      </c>
      <c r="AU18">
        <f t="shared" si="9"/>
        <v>2.6654033727010917E-2</v>
      </c>
      <c r="AV18">
        <f t="shared" si="9"/>
        <v>-1.931592991894493E-3</v>
      </c>
      <c r="AW18">
        <f t="shared" si="9"/>
        <v>7.1177183161184043E-3</v>
      </c>
      <c r="AX18">
        <f t="shared" si="9"/>
        <v>1.0497921767351759E-2</v>
      </c>
      <c r="AY18">
        <f t="shared" si="9"/>
        <v>6.4587016389747731E-3</v>
      </c>
      <c r="AZ18">
        <f t="shared" si="9"/>
        <v>7.7468928451460695E-3</v>
      </c>
      <c r="BA18">
        <f t="shared" si="9"/>
        <v>-6.5554189843267663E-3</v>
      </c>
      <c r="BB18">
        <f t="shared" si="9"/>
        <v>6.0184958653424214E-3</v>
      </c>
      <c r="BC18">
        <f t="shared" si="9"/>
        <v>7.6153418565869657E-3</v>
      </c>
      <c r="BD18">
        <f t="shared" si="9"/>
        <v>2.0246041816075477E-2</v>
      </c>
      <c r="BE18">
        <f t="shared" si="9"/>
        <v>1.8451930355791735E-3</v>
      </c>
      <c r="BF18">
        <f t="shared" si="9"/>
        <v>1.2953280485747953E-3</v>
      </c>
      <c r="BG18">
        <f t="shared" si="9"/>
        <v>3.503641766104959E-4</v>
      </c>
      <c r="BH18">
        <f t="shared" si="9"/>
        <v>-1.2473984468138077E-2</v>
      </c>
      <c r="BI18">
        <f t="shared" si="9"/>
        <v>-2.3489772673018883E-2</v>
      </c>
      <c r="BJ18">
        <f t="shared" si="9"/>
        <v>1.3110013759577654E-2</v>
      </c>
      <c r="BK18">
        <f t="shared" si="9"/>
        <v>4.2743881420199692E-3</v>
      </c>
      <c r="BL18">
        <f t="shared" si="9"/>
        <v>-1.6818837097549721E-3</v>
      </c>
      <c r="BM18">
        <f t="shared" si="9"/>
        <v>-1.4763623861096753E-2</v>
      </c>
    </row>
    <row r="19" spans="2:68">
      <c r="D19">
        <f t="shared" ref="D19:BM19" si="10">D10/C10-1</f>
        <v>2.1782635467980427E-2</v>
      </c>
      <c r="E19">
        <f t="shared" si="10"/>
        <v>1.2806026365348444E-3</v>
      </c>
      <c r="F19">
        <f t="shared" si="10"/>
        <v>-1.10592837797171E-2</v>
      </c>
      <c r="G19">
        <f t="shared" si="10"/>
        <v>-1.3693419551158437E-3</v>
      </c>
      <c r="H19">
        <f t="shared" si="10"/>
        <v>1.2874228688961598E-2</v>
      </c>
      <c r="I19">
        <f t="shared" si="10"/>
        <v>3.7605294825511448E-2</v>
      </c>
      <c r="J19">
        <f t="shared" si="10"/>
        <v>-8.8431429399825623E-3</v>
      </c>
      <c r="K19">
        <f t="shared" si="10"/>
        <v>1.345619423723865E-2</v>
      </c>
      <c r="L19">
        <f t="shared" si="10"/>
        <v>7.3170731707316916E-2</v>
      </c>
      <c r="M19">
        <f t="shared" si="10"/>
        <v>-1.0556750941366322E-2</v>
      </c>
      <c r="N19">
        <f t="shared" si="10"/>
        <v>-1.6853550798505035E-2</v>
      </c>
      <c r="O19">
        <f t="shared" si="10"/>
        <v>2.0598603718808395E-2</v>
      </c>
      <c r="P19">
        <f t="shared" si="10"/>
        <v>4.9441246190313759E-3</v>
      </c>
      <c r="Q19">
        <f t="shared" si="10"/>
        <v>-9.772206496832414E-3</v>
      </c>
      <c r="R19">
        <f t="shared" si="10"/>
        <v>-2.0417886068191393E-4</v>
      </c>
      <c r="S19">
        <f t="shared" si="10"/>
        <v>9.4622191967324021E-3</v>
      </c>
      <c r="T19">
        <f t="shared" si="10"/>
        <v>9.4409602805314297E-3</v>
      </c>
      <c r="U19">
        <f t="shared" si="10"/>
        <v>1.3026922306099253E-2</v>
      </c>
      <c r="V19">
        <f t="shared" si="10"/>
        <v>-1.0551305724083582E-3</v>
      </c>
      <c r="W19">
        <f t="shared" si="10"/>
        <v>6.6015315553213938E-4</v>
      </c>
      <c r="X19">
        <f t="shared" si="10"/>
        <v>-6.3332893521573785E-3</v>
      </c>
      <c r="Y19">
        <f t="shared" si="10"/>
        <v>-1.3544018058690654E-2</v>
      </c>
      <c r="Z19">
        <f t="shared" si="10"/>
        <v>-2.019114281868406E-3</v>
      </c>
      <c r="AA19">
        <f t="shared" si="10"/>
        <v>-5.6649581872133536E-3</v>
      </c>
      <c r="AB19">
        <f t="shared" si="10"/>
        <v>1.4921323928378527E-3</v>
      </c>
      <c r="AC19">
        <f t="shared" si="10"/>
        <v>-9.8198564269266209E-3</v>
      </c>
      <c r="AD19">
        <f t="shared" si="10"/>
        <v>-7.5234252103151267E-4</v>
      </c>
      <c r="AE19">
        <f t="shared" si="10"/>
        <v>1.0198494182067197E-2</v>
      </c>
      <c r="AF19">
        <f t="shared" si="10"/>
        <v>1.1518395555254468E-3</v>
      </c>
      <c r="AG19">
        <f t="shared" si="10"/>
        <v>-9.3394694098537512E-3</v>
      </c>
      <c r="AH19">
        <f t="shared" si="10"/>
        <v>1.4209591474245276E-2</v>
      </c>
      <c r="AI19">
        <f t="shared" si="10"/>
        <v>-4.917149400512022E-3</v>
      </c>
      <c r="AJ19">
        <f t="shared" si="10"/>
        <v>-9.9505855276518229E-3</v>
      </c>
      <c r="AK19">
        <f t="shared" si="10"/>
        <v>-7.5208532749881929E-4</v>
      </c>
      <c r="AL19">
        <f t="shared" si="10"/>
        <v>4.9948682860074811E-3</v>
      </c>
      <c r="AM19">
        <f t="shared" si="10"/>
        <v>-1.4978213507625182E-2</v>
      </c>
      <c r="AN19">
        <f t="shared" si="10"/>
        <v>4.2162012717721353E-3</v>
      </c>
      <c r="AO19">
        <f t="shared" si="10"/>
        <v>2.8219423222519691E-3</v>
      </c>
      <c r="AP19">
        <f t="shared" si="10"/>
        <v>3.4317089910773646E-4</v>
      </c>
      <c r="AQ19">
        <f t="shared" si="10"/>
        <v>-1.3584905660377289E-2</v>
      </c>
      <c r="AR19">
        <f t="shared" si="10"/>
        <v>5.9817764484939584E-3</v>
      </c>
      <c r="AS19">
        <f t="shared" si="10"/>
        <v>2.468367558597806E-2</v>
      </c>
      <c r="AT19">
        <f t="shared" si="10"/>
        <v>-1.1470985155195623E-2</v>
      </c>
      <c r="AU19">
        <f t="shared" si="10"/>
        <v>-5.8020477815698968E-3</v>
      </c>
      <c r="AV19">
        <f t="shared" si="10"/>
        <v>3.4328870580146997E-4</v>
      </c>
      <c r="AW19">
        <f t="shared" si="10"/>
        <v>-2.0590253946464188E-3</v>
      </c>
      <c r="AX19">
        <f t="shared" si="10"/>
        <v>-3.9202200825309008E-3</v>
      </c>
      <c r="AY19">
        <f t="shared" si="10"/>
        <v>-1.4499758337361834E-3</v>
      </c>
      <c r="AZ19">
        <f t="shared" si="10"/>
        <v>-5.1168579726179608E-3</v>
      </c>
      <c r="BA19">
        <f t="shared" si="10"/>
        <v>9.1743119266054496E-3</v>
      </c>
      <c r="BB19">
        <f t="shared" si="10"/>
        <v>-6.0606060606059886E-3</v>
      </c>
      <c r="BC19">
        <f t="shared" si="10"/>
        <v>5.5432372505543892E-3</v>
      </c>
      <c r="BD19">
        <f t="shared" si="10"/>
        <v>-5.443770672546755E-3</v>
      </c>
      <c r="BE19">
        <f t="shared" si="10"/>
        <v>-5.3349961892884545E-3</v>
      </c>
      <c r="BF19">
        <f t="shared" si="10"/>
        <v>3.1345778768459009E-3</v>
      </c>
      <c r="BG19">
        <f t="shared" si="10"/>
        <v>-1.2568571626970337E-2</v>
      </c>
      <c r="BH19">
        <f t="shared" si="10"/>
        <v>-1.4908579465541361E-2</v>
      </c>
      <c r="BI19">
        <f t="shared" si="10"/>
        <v>-2.9840091376356459E-2</v>
      </c>
      <c r="BJ19">
        <f t="shared" si="10"/>
        <v>1.8175128771155347E-2</v>
      </c>
      <c r="BK19">
        <f t="shared" si="10"/>
        <v>-1.6694370166943751E-2</v>
      </c>
      <c r="BL19">
        <f t="shared" si="10"/>
        <v>1.2861972659121035E-2</v>
      </c>
      <c r="BM19">
        <f t="shared" si="10"/>
        <v>3.6281837312241993E-3</v>
      </c>
    </row>
    <row r="20" spans="2:68">
      <c r="D20">
        <f t="shared" ref="D20:BM20" si="11">D11/C11-1</f>
        <v>-3.7479921470641164E-3</v>
      </c>
      <c r="E20">
        <f t="shared" si="11"/>
        <v>-1.9706198495162974E-3</v>
      </c>
      <c r="F20">
        <f t="shared" si="11"/>
        <v>-3.0515167833423673E-3</v>
      </c>
      <c r="G20">
        <f t="shared" si="11"/>
        <v>1.4764133957508196E-2</v>
      </c>
      <c r="H20">
        <f t="shared" si="11"/>
        <v>-3.2114975159687753E-2</v>
      </c>
      <c r="I20">
        <f t="shared" si="11"/>
        <v>-4.5829514207149646E-3</v>
      </c>
      <c r="J20">
        <f t="shared" si="11"/>
        <v>-3.2780847145487901E-2</v>
      </c>
      <c r="K20">
        <f t="shared" si="11"/>
        <v>-1.085300837776082E-2</v>
      </c>
      <c r="L20">
        <f t="shared" si="11"/>
        <v>7.3147256977863506E-3</v>
      </c>
      <c r="M20">
        <f t="shared" si="11"/>
        <v>7.070514045480758E-3</v>
      </c>
      <c r="N20">
        <f t="shared" si="11"/>
        <v>1.404174573055017E-2</v>
      </c>
      <c r="O20">
        <f t="shared" si="11"/>
        <v>-1.3285928143712544E-2</v>
      </c>
      <c r="P20">
        <f t="shared" si="11"/>
        <v>1.0430494974397853E-2</v>
      </c>
      <c r="Q20">
        <f t="shared" si="11"/>
        <v>1.510885885885882E-2</v>
      </c>
      <c r="R20">
        <f t="shared" si="11"/>
        <v>-7.3033188499584956E-3</v>
      </c>
      <c r="S20">
        <f t="shared" si="11"/>
        <v>-1.2106537530266359E-2</v>
      </c>
      <c r="T20">
        <f t="shared" si="11"/>
        <v>1.300904977375561E-2</v>
      </c>
      <c r="U20">
        <f t="shared" si="11"/>
        <v>8.189093616229437E-3</v>
      </c>
      <c r="V20">
        <f t="shared" si="11"/>
        <v>5.7227247553994776E-3</v>
      </c>
      <c r="W20">
        <f t="shared" si="11"/>
        <v>6.4243759177680104E-3</v>
      </c>
      <c r="X20">
        <f t="shared" si="11"/>
        <v>-1.0942914462885311E-2</v>
      </c>
      <c r="Y20">
        <f t="shared" si="11"/>
        <v>6.6383920339296854E-3</v>
      </c>
      <c r="Z20">
        <f t="shared" si="11"/>
        <v>-1.3006045063198357E-2</v>
      </c>
      <c r="AA20">
        <f t="shared" si="11"/>
        <v>2.0601336302895401E-2</v>
      </c>
      <c r="AB20">
        <f t="shared" si="11"/>
        <v>4.0007274049826957E-3</v>
      </c>
      <c r="AC20">
        <f t="shared" si="11"/>
        <v>-1.4852381814888571E-2</v>
      </c>
      <c r="AD20">
        <f t="shared" si="11"/>
        <v>2.8497885640742737E-2</v>
      </c>
      <c r="AE20">
        <f t="shared" si="11"/>
        <v>9.6531998569895361E-3</v>
      </c>
      <c r="AF20">
        <f t="shared" si="11"/>
        <v>3.6827195467422191E-2</v>
      </c>
      <c r="AG20">
        <f t="shared" si="11"/>
        <v>1.5368852459016757E-3</v>
      </c>
      <c r="AH20">
        <f t="shared" si="11"/>
        <v>-6.8201193520889269E-4</v>
      </c>
      <c r="AI20">
        <f t="shared" si="11"/>
        <v>-5.9716771881931363E-3</v>
      </c>
      <c r="AJ20">
        <f t="shared" si="11"/>
        <v>1.3044970820460078E-2</v>
      </c>
      <c r="AK20">
        <f t="shared" si="11"/>
        <v>1.8637749915282331E-3</v>
      </c>
      <c r="AL20">
        <f t="shared" si="11"/>
        <v>1.5220700152205335E-3</v>
      </c>
      <c r="AM20">
        <f t="shared" si="11"/>
        <v>-5.572441742654477E-3</v>
      </c>
      <c r="AN20">
        <f t="shared" si="11"/>
        <v>-1.358464934623882E-3</v>
      </c>
      <c r="AO20">
        <f t="shared" si="11"/>
        <v>1.3603128719605895E-3</v>
      </c>
      <c r="AP20">
        <f t="shared" si="11"/>
        <v>5.0093394464256757E-3</v>
      </c>
      <c r="AQ20">
        <f t="shared" si="11"/>
        <v>-5.1533327701275278E-3</v>
      </c>
      <c r="AR20">
        <f t="shared" si="11"/>
        <v>9.1711956521738358E-3</v>
      </c>
      <c r="AS20">
        <f t="shared" si="11"/>
        <v>-1.295859979804781E-2</v>
      </c>
      <c r="AT20">
        <f t="shared" si="11"/>
        <v>3.4100596760455737E-4</v>
      </c>
      <c r="AU20">
        <f t="shared" si="11"/>
        <v>1.8237600136356003E-2</v>
      </c>
      <c r="AV20">
        <f t="shared" si="11"/>
        <v>9.9598259122866128E-3</v>
      </c>
      <c r="AW20">
        <f t="shared" si="11"/>
        <v>-7.5412281428689498E-3</v>
      </c>
      <c r="AX20">
        <f t="shared" si="11"/>
        <v>-9.0180360721442421E-3</v>
      </c>
      <c r="AY20">
        <f t="shared" si="11"/>
        <v>-6.5722952477249574E-3</v>
      </c>
      <c r="AZ20">
        <f t="shared" si="11"/>
        <v>4.9194232400338045E-3</v>
      </c>
      <c r="BA20">
        <f t="shared" si="11"/>
        <v>1.3673193787981042E-2</v>
      </c>
      <c r="BB20">
        <f t="shared" si="11"/>
        <v>-6.8276436303079668E-3</v>
      </c>
      <c r="BC20">
        <f t="shared" si="11"/>
        <v>1.3246143527833709E-2</v>
      </c>
      <c r="BD20">
        <f t="shared" si="11"/>
        <v>1.3403938441171714E-2</v>
      </c>
      <c r="BE20">
        <f t="shared" si="11"/>
        <v>2.9392553886349315E-3</v>
      </c>
      <c r="BF20">
        <f t="shared" si="11"/>
        <v>-1.790947574080104E-2</v>
      </c>
      <c r="BG20">
        <f t="shared" si="11"/>
        <v>-3.1498673740052441E-3</v>
      </c>
      <c r="BH20">
        <f t="shared" si="11"/>
        <v>-1.2140362547813144E-2</v>
      </c>
      <c r="BI20">
        <f t="shared" si="11"/>
        <v>-1.8181818181818188E-2</v>
      </c>
      <c r="BJ20">
        <f t="shared" si="11"/>
        <v>2.9320987654321007E-2</v>
      </c>
      <c r="BK20">
        <f t="shared" si="11"/>
        <v>6.1635848742294108E-3</v>
      </c>
      <c r="BL20">
        <f t="shared" si="11"/>
        <v>8.1125827814569895E-3</v>
      </c>
      <c r="BM20">
        <f t="shared" si="11"/>
        <v>-3.9579569715881169E-2</v>
      </c>
    </row>
    <row r="21" spans="2:68">
      <c r="B21" t="s">
        <v>0</v>
      </c>
      <c r="C21">
        <v>1</v>
      </c>
      <c r="D21">
        <f t="shared" ref="D21:AI21" si="12">C21*(1+D12)</f>
        <v>1.0090434263274124</v>
      </c>
      <c r="E21">
        <f t="shared" si="12"/>
        <v>1.0111701501027361</v>
      </c>
      <c r="F21">
        <f t="shared" si="12"/>
        <v>1.0059979490806366</v>
      </c>
      <c r="G21">
        <f t="shared" si="12"/>
        <v>1.0025434480286752</v>
      </c>
      <c r="H21">
        <f t="shared" si="12"/>
        <v>1.0066798887695265</v>
      </c>
      <c r="I21">
        <f t="shared" si="12"/>
        <v>1.0116148759857824</v>
      </c>
      <c r="J21">
        <f t="shared" si="12"/>
        <v>1.0010873632845432</v>
      </c>
      <c r="K21">
        <f t="shared" si="12"/>
        <v>1.0055408224758682</v>
      </c>
      <c r="L21">
        <f t="shared" si="12"/>
        <v>1.0170696934561592</v>
      </c>
      <c r="M21">
        <f t="shared" si="12"/>
        <v>1.0196970463680988</v>
      </c>
      <c r="N21">
        <f t="shared" si="12"/>
        <v>1.0289615855642797</v>
      </c>
      <c r="O21">
        <f t="shared" si="12"/>
        <v>1.0316261406413854</v>
      </c>
      <c r="P21">
        <f t="shared" si="12"/>
        <v>1.0312275174415149</v>
      </c>
      <c r="Q21">
        <f t="shared" si="12"/>
        <v>1.0230941940820952</v>
      </c>
      <c r="R21">
        <f t="shared" si="12"/>
        <v>1.022471807859217</v>
      </c>
      <c r="S21">
        <f t="shared" si="12"/>
        <v>1.0218989745203169</v>
      </c>
      <c r="T21">
        <f t="shared" si="12"/>
        <v>1.0269357676616777</v>
      </c>
      <c r="U21">
        <f t="shared" si="12"/>
        <v>1.0332346342557135</v>
      </c>
      <c r="V21">
        <f t="shared" si="12"/>
        <v>1.0371642629601041</v>
      </c>
      <c r="W21">
        <f t="shared" si="12"/>
        <v>1.0357730819933717</v>
      </c>
      <c r="X21">
        <f t="shared" si="12"/>
        <v>1.0242181094939724</v>
      </c>
      <c r="Y21">
        <f t="shared" si="12"/>
        <v>1.0236197746708855</v>
      </c>
      <c r="Z21">
        <f t="shared" si="12"/>
        <v>1.027824219369567</v>
      </c>
      <c r="AA21">
        <f t="shared" si="12"/>
        <v>1.0328069093621246</v>
      </c>
      <c r="AB21">
        <f t="shared" si="12"/>
        <v>1.037889605175021</v>
      </c>
      <c r="AC21">
        <f t="shared" si="12"/>
        <v>1.0346553169394457</v>
      </c>
      <c r="AD21">
        <f t="shared" si="12"/>
        <v>1.038885163116493</v>
      </c>
      <c r="AE21">
        <f t="shared" si="12"/>
        <v>1.0446538988569134</v>
      </c>
      <c r="AF21">
        <f t="shared" si="12"/>
        <v>1.0468379259672909</v>
      </c>
      <c r="AG21">
        <f t="shared" si="12"/>
        <v>1.0464827052934476</v>
      </c>
      <c r="AH21">
        <f t="shared" si="12"/>
        <v>1.0573825396638081</v>
      </c>
      <c r="AI21">
        <f t="shared" si="12"/>
        <v>1.0525718596822331</v>
      </c>
      <c r="AJ21">
        <f t="shared" ref="AJ21:BM21" si="13">AI21*(1+AJ12)</f>
        <v>1.0574294423935466</v>
      </c>
      <c r="AK21">
        <f t="shared" si="13"/>
        <v>1.072243304560325</v>
      </c>
      <c r="AL21">
        <f t="shared" si="13"/>
        <v>1.0768075702005853</v>
      </c>
      <c r="AM21">
        <f t="shared" si="13"/>
        <v>1.0734213731239153</v>
      </c>
      <c r="AN21">
        <f t="shared" si="13"/>
        <v>1.0722663058990027</v>
      </c>
      <c r="AO21">
        <f t="shared" si="13"/>
        <v>1.0828138197643098</v>
      </c>
      <c r="AP21">
        <f t="shared" si="13"/>
        <v>1.0847285812034255</v>
      </c>
      <c r="AQ21">
        <f t="shared" si="13"/>
        <v>1.07223000378622</v>
      </c>
      <c r="AR21">
        <f t="shared" si="13"/>
        <v>1.0742247198786965</v>
      </c>
      <c r="AS21">
        <f t="shared" si="13"/>
        <v>1.090356558751719</v>
      </c>
      <c r="AT21">
        <f t="shared" si="13"/>
        <v>1.0860329071151937</v>
      </c>
      <c r="AU21">
        <f t="shared" si="13"/>
        <v>1.1007894659469177</v>
      </c>
      <c r="AV21">
        <f t="shared" si="13"/>
        <v>1.1019115812540285</v>
      </c>
      <c r="AW21">
        <f t="shared" si="13"/>
        <v>1.1070873324827502</v>
      </c>
      <c r="AX21">
        <f t="shared" si="13"/>
        <v>1.1111876711224589</v>
      </c>
      <c r="AY21">
        <f t="shared" si="13"/>
        <v>1.1132939937104336</v>
      </c>
      <c r="AZ21">
        <f t="shared" si="13"/>
        <v>1.1223236192346391</v>
      </c>
      <c r="BA21">
        <f t="shared" si="13"/>
        <v>1.1210587456189947</v>
      </c>
      <c r="BB21">
        <f t="shared" si="13"/>
        <v>1.1246615553025181</v>
      </c>
      <c r="BC21">
        <f t="shared" si="13"/>
        <v>1.1333503609910094</v>
      </c>
      <c r="BD21">
        <f t="shared" si="13"/>
        <v>1.1405854820750563</v>
      </c>
      <c r="BE21">
        <f t="shared" si="13"/>
        <v>1.138348551885719</v>
      </c>
      <c r="BF21">
        <f t="shared" si="13"/>
        <v>1.1372999908594674</v>
      </c>
      <c r="BG21">
        <f t="shared" si="13"/>
        <v>1.130467493208104</v>
      </c>
      <c r="BH21">
        <f t="shared" si="13"/>
        <v>1.1151244002400933</v>
      </c>
      <c r="BI21">
        <f t="shared" si="13"/>
        <v>1.0937922587094562</v>
      </c>
      <c r="BJ21">
        <f t="shared" si="13"/>
        <v>1.108807332586756</v>
      </c>
      <c r="BK21">
        <f t="shared" si="13"/>
        <v>1.1057472544902107</v>
      </c>
      <c r="BL21">
        <f t="shared" si="13"/>
        <v>1.095270944768985</v>
      </c>
      <c r="BM21">
        <f t="shared" si="13"/>
        <v>1.0726809300301272</v>
      </c>
      <c r="BO21" s="24">
        <f>BM21-BM22</f>
        <v>8.5440425897822525E-3</v>
      </c>
      <c r="BP21" s="24">
        <f>BN21-BN22</f>
        <v>0</v>
      </c>
    </row>
    <row r="22" spans="2:68">
      <c r="B22" t="s">
        <v>131</v>
      </c>
      <c r="C22">
        <v>1</v>
      </c>
      <c r="D22">
        <f t="shared" ref="D22:AI22" si="14">C22*(1+D13)</f>
        <v>1.0083226632522408</v>
      </c>
      <c r="E22">
        <f t="shared" si="14"/>
        <v>1.0123966942148761</v>
      </c>
      <c r="F22">
        <f t="shared" si="14"/>
        <v>1.0116982889069959</v>
      </c>
      <c r="G22">
        <f t="shared" si="14"/>
        <v>1.009661273425678</v>
      </c>
      <c r="H22">
        <f t="shared" si="14"/>
        <v>1.0164125247351881</v>
      </c>
      <c r="I22">
        <f t="shared" si="14"/>
        <v>1.0201373530438833</v>
      </c>
      <c r="J22">
        <f t="shared" si="14"/>
        <v>1.0161215225235714</v>
      </c>
      <c r="K22">
        <f t="shared" si="14"/>
        <v>1.0191479455243861</v>
      </c>
      <c r="L22">
        <f t="shared" si="14"/>
        <v>1.0234547782563148</v>
      </c>
      <c r="M22">
        <f t="shared" si="14"/>
        <v>1.0265394016994531</v>
      </c>
      <c r="N22">
        <f t="shared" si="14"/>
        <v>1.0338144569898733</v>
      </c>
      <c r="O22">
        <f t="shared" si="14"/>
        <v>1.0366662786637182</v>
      </c>
      <c r="P22">
        <f t="shared" si="14"/>
        <v>1.0339890583168434</v>
      </c>
      <c r="Q22">
        <f t="shared" si="14"/>
        <v>1.0257827959492494</v>
      </c>
      <c r="R22">
        <f t="shared" si="14"/>
        <v>1.0283436154114773</v>
      </c>
      <c r="S22">
        <f t="shared" si="14"/>
        <v>1.0296822255849145</v>
      </c>
      <c r="T22">
        <f t="shared" si="14"/>
        <v>1.0309044348737051</v>
      </c>
      <c r="U22">
        <f t="shared" si="14"/>
        <v>1.0346292631824003</v>
      </c>
      <c r="V22">
        <f t="shared" si="14"/>
        <v>1.0411477127226167</v>
      </c>
      <c r="W22">
        <f t="shared" si="14"/>
        <v>1.0373646839715984</v>
      </c>
      <c r="X22">
        <f t="shared" si="14"/>
        <v>1.0283436154114773</v>
      </c>
      <c r="Y22">
        <f t="shared" si="14"/>
        <v>1.027470608776627</v>
      </c>
      <c r="Z22">
        <f t="shared" si="14"/>
        <v>1.0340472587591669</v>
      </c>
      <c r="AA22">
        <f t="shared" si="14"/>
        <v>1.0380630892794789</v>
      </c>
      <c r="AB22">
        <f t="shared" si="14"/>
        <v>1.0445815388196953</v>
      </c>
      <c r="AC22">
        <f t="shared" si="14"/>
        <v>1.0415551158188805</v>
      </c>
      <c r="AD22">
        <f t="shared" si="14"/>
        <v>1.0378302875101852</v>
      </c>
      <c r="AE22">
        <f t="shared" si="14"/>
        <v>1.0409731113956469</v>
      </c>
      <c r="AF22">
        <f t="shared" si="14"/>
        <v>1.0409149109533233</v>
      </c>
      <c r="AG22">
        <f t="shared" si="14"/>
        <v>1.0375392852985685</v>
      </c>
      <c r="AH22">
        <f t="shared" si="14"/>
        <v>1.0483063671283905</v>
      </c>
      <c r="AI22">
        <f t="shared" si="14"/>
        <v>1.0484227680130371</v>
      </c>
      <c r="AJ22">
        <f t="shared" ref="AJ22:BM22" si="15">AI22*(1+AJ13)</f>
        <v>1.0515073914561752</v>
      </c>
      <c r="AK22">
        <f t="shared" si="15"/>
        <v>1.0598300547084161</v>
      </c>
      <c r="AL22">
        <f t="shared" si="15"/>
        <v>1.0639040856710513</v>
      </c>
      <c r="AM22">
        <f t="shared" si="15"/>
        <v>1.0602956582470029</v>
      </c>
      <c r="AN22">
        <f t="shared" si="15"/>
        <v>1.0588988476312422</v>
      </c>
      <c r="AO22">
        <f t="shared" si="15"/>
        <v>1.0675125130950998</v>
      </c>
      <c r="AP22">
        <f t="shared" si="15"/>
        <v>1.0659993015946923</v>
      </c>
      <c r="AQ22">
        <f t="shared" si="15"/>
        <v>1.0550576184379004</v>
      </c>
      <c r="AR22">
        <f t="shared" si="15"/>
        <v>1.0571528343615413</v>
      </c>
      <c r="AS22">
        <f t="shared" si="15"/>
        <v>1.0710627400768249</v>
      </c>
      <c r="AT22">
        <f t="shared" si="15"/>
        <v>1.0651262949598419</v>
      </c>
      <c r="AU22">
        <f t="shared" si="15"/>
        <v>1.0781049935979516</v>
      </c>
      <c r="AV22">
        <f t="shared" si="15"/>
        <v>1.0776975905016879</v>
      </c>
      <c r="AW22">
        <f t="shared" si="15"/>
        <v>1.0850890466767551</v>
      </c>
      <c r="AX22">
        <f t="shared" si="15"/>
        <v>1.0878826679082765</v>
      </c>
      <c r="AY22">
        <f t="shared" si="15"/>
        <v>1.0861948550808991</v>
      </c>
      <c r="AZ22">
        <f t="shared" si="15"/>
        <v>1.0946339192177867</v>
      </c>
      <c r="BA22">
        <f t="shared" si="15"/>
        <v>1.0913746944476785</v>
      </c>
      <c r="BB22">
        <f t="shared" si="15"/>
        <v>1.0950413223140505</v>
      </c>
      <c r="BC22">
        <f t="shared" si="15"/>
        <v>1.1023163776044707</v>
      </c>
      <c r="BD22">
        <f t="shared" si="15"/>
        <v>1.1122104527994421</v>
      </c>
      <c r="BE22">
        <f t="shared" si="15"/>
        <v>1.1116866488185317</v>
      </c>
      <c r="BF22">
        <f t="shared" si="15"/>
        <v>1.1123268536840887</v>
      </c>
      <c r="BG22">
        <f t="shared" si="15"/>
        <v>1.1085438249330701</v>
      </c>
      <c r="BH22">
        <f t="shared" si="15"/>
        <v>1.0969619369107211</v>
      </c>
      <c r="BI22">
        <f t="shared" si="15"/>
        <v>1.0783959958095688</v>
      </c>
      <c r="BJ22">
        <f t="shared" si="15"/>
        <v>1.0911418926783849</v>
      </c>
      <c r="BK22">
        <f t="shared" si="15"/>
        <v>1.0864276568501925</v>
      </c>
      <c r="BL22">
        <f t="shared" si="15"/>
        <v>1.0778139913863349</v>
      </c>
      <c r="BM22">
        <f t="shared" si="15"/>
        <v>1.064136887440345</v>
      </c>
    </row>
    <row r="23" spans="2:68">
      <c r="B23" t="s">
        <v>67</v>
      </c>
      <c r="C23">
        <v>1</v>
      </c>
      <c r="D23">
        <f t="shared" ref="D23:AI23" si="16">C23*(1+D14)</f>
        <v>1.0096623605788857</v>
      </c>
      <c r="E23">
        <f t="shared" si="16"/>
        <v>1.0134022044009008</v>
      </c>
      <c r="F23">
        <f t="shared" si="16"/>
        <v>1.012200582046116</v>
      </c>
      <c r="G23">
        <f t="shared" si="16"/>
        <v>1.0129116791108654</v>
      </c>
      <c r="H23">
        <f t="shared" si="16"/>
        <v>1.0156770565848905</v>
      </c>
      <c r="I23">
        <f t="shared" si="16"/>
        <v>1.0182778282568905</v>
      </c>
      <c r="J23">
        <f t="shared" si="16"/>
        <v>1.0162795138203033</v>
      </c>
      <c r="K23">
        <f t="shared" si="16"/>
        <v>1.0178696058678678</v>
      </c>
      <c r="L23">
        <f t="shared" si="16"/>
        <v>1.018593871396779</v>
      </c>
      <c r="M23">
        <f t="shared" si="16"/>
        <v>1.01944652945127</v>
      </c>
      <c r="N23">
        <f t="shared" si="16"/>
        <v>1.0272916419757963</v>
      </c>
      <c r="O23">
        <f t="shared" si="16"/>
        <v>1.0278085041941558</v>
      </c>
      <c r="P23">
        <f t="shared" si="16"/>
        <v>1.0271994627266621</v>
      </c>
      <c r="Q23">
        <f t="shared" si="16"/>
        <v>1.0233411027271888</v>
      </c>
      <c r="R23">
        <f t="shared" si="16"/>
        <v>1.0217213816352597</v>
      </c>
      <c r="S23">
        <f t="shared" si="16"/>
        <v>1.0239435599626014</v>
      </c>
      <c r="T23">
        <f t="shared" si="16"/>
        <v>1.0316306509171835</v>
      </c>
      <c r="U23">
        <f t="shared" si="16"/>
        <v>1.0338956267530517</v>
      </c>
      <c r="V23">
        <f t="shared" si="16"/>
        <v>1.0382115908821554</v>
      </c>
      <c r="W23">
        <f t="shared" si="16"/>
        <v>1.034047064090915</v>
      </c>
      <c r="X23">
        <f t="shared" si="16"/>
        <v>1.0251221375051027</v>
      </c>
      <c r="Y23">
        <f t="shared" si="16"/>
        <v>1.0183173336493765</v>
      </c>
      <c r="Z23">
        <f t="shared" si="16"/>
        <v>1.0247567126246069</v>
      </c>
      <c r="AA23">
        <f t="shared" si="16"/>
        <v>1.0262941308155231</v>
      </c>
      <c r="AB23">
        <f t="shared" si="16"/>
        <v>1.0356700772988849</v>
      </c>
      <c r="AC23">
        <f t="shared" si="16"/>
        <v>1.0323944218385812</v>
      </c>
      <c r="AD23">
        <f t="shared" si="16"/>
        <v>1.031261933920647</v>
      </c>
      <c r="AE23">
        <f t="shared" si="16"/>
        <v>1.0342610516335482</v>
      </c>
      <c r="AF23">
        <f t="shared" si="16"/>
        <v>1.043130012246672</v>
      </c>
      <c r="AG23">
        <f t="shared" si="16"/>
        <v>1.0432057309156038</v>
      </c>
      <c r="AH23">
        <f t="shared" si="16"/>
        <v>1.0506623737473502</v>
      </c>
      <c r="AI23">
        <f t="shared" si="16"/>
        <v>1.0510146301636845</v>
      </c>
      <c r="AJ23">
        <f t="shared" ref="AJ23:BM23" si="17">AI23*(1+AJ14)</f>
        <v>1.0505603181500947</v>
      </c>
      <c r="AK23">
        <f t="shared" si="17"/>
        <v>1.0552449992757349</v>
      </c>
      <c r="AL23">
        <f t="shared" si="17"/>
        <v>1.0604630031999371</v>
      </c>
      <c r="AM23">
        <f t="shared" si="17"/>
        <v>1.0613815035752385</v>
      </c>
      <c r="AN23">
        <f t="shared" si="17"/>
        <v>1.0611741002646866</v>
      </c>
      <c r="AO23">
        <f t="shared" si="17"/>
        <v>1.0666159680796432</v>
      </c>
      <c r="AP23">
        <f t="shared" si="17"/>
        <v>1.0666521813560887</v>
      </c>
      <c r="AQ23">
        <f t="shared" si="17"/>
        <v>1.0604860480122207</v>
      </c>
      <c r="AR23">
        <f t="shared" si="17"/>
        <v>1.0636102661346611</v>
      </c>
      <c r="AS23">
        <f t="shared" si="17"/>
        <v>1.0725220242563114</v>
      </c>
      <c r="AT23">
        <f t="shared" si="17"/>
        <v>1.064950157363147</v>
      </c>
      <c r="AU23">
        <f t="shared" si="17"/>
        <v>1.0687130459974457</v>
      </c>
      <c r="AV23">
        <f t="shared" si="17"/>
        <v>1.0657172204005849</v>
      </c>
      <c r="AW23">
        <f t="shared" si="17"/>
        <v>1.0709418085568685</v>
      </c>
      <c r="AX23">
        <f t="shared" si="17"/>
        <v>1.0780692397845644</v>
      </c>
      <c r="AY23">
        <f t="shared" si="17"/>
        <v>1.074991111286691</v>
      </c>
      <c r="AZ23">
        <f t="shared" si="17"/>
        <v>1.0824905516269641</v>
      </c>
      <c r="BA23">
        <f t="shared" si="17"/>
        <v>1.0808510778387921</v>
      </c>
      <c r="BB23">
        <f t="shared" si="17"/>
        <v>1.082872437087663</v>
      </c>
      <c r="BC23">
        <f t="shared" si="17"/>
        <v>1.0919323404311361</v>
      </c>
      <c r="BD23">
        <f t="shared" si="17"/>
        <v>1.0961495410790245</v>
      </c>
      <c r="BE23">
        <f t="shared" si="17"/>
        <v>1.0932426026152575</v>
      </c>
      <c r="BF23">
        <f t="shared" si="17"/>
        <v>1.0935586457551461</v>
      </c>
      <c r="BG23">
        <f t="shared" si="17"/>
        <v>1.094806357734498</v>
      </c>
      <c r="BH23">
        <f t="shared" si="17"/>
        <v>1.0849069648006957</v>
      </c>
      <c r="BI23">
        <f t="shared" si="17"/>
        <v>1.0678406352467116</v>
      </c>
      <c r="BJ23">
        <f t="shared" si="17"/>
        <v>1.0785762256548022</v>
      </c>
      <c r="BK23">
        <f t="shared" si="17"/>
        <v>1.0776412646992986</v>
      </c>
      <c r="BL23">
        <f t="shared" si="17"/>
        <v>1.0810189757568578</v>
      </c>
      <c r="BM23">
        <f t="shared" si="17"/>
        <v>1.0618786130973548</v>
      </c>
    </row>
    <row r="24" spans="2:68">
      <c r="B24" t="str">
        <f t="shared" ref="B24:B29" si="18">B6</f>
        <v>FB</v>
      </c>
      <c r="C24">
        <v>1</v>
      </c>
      <c r="D24">
        <f t="shared" ref="D24:BM24" si="19">C24*(1+D15)</f>
        <v>1.0102791547091052</v>
      </c>
      <c r="E24">
        <f t="shared" si="19"/>
        <v>1.016018784242108</v>
      </c>
      <c r="F24">
        <f t="shared" si="19"/>
        <v>1.0139316462301069</v>
      </c>
      <c r="G24">
        <f t="shared" si="19"/>
        <v>0.99947821549699978</v>
      </c>
      <c r="H24">
        <f t="shared" si="19"/>
        <v>0.99358205061309668</v>
      </c>
      <c r="I24">
        <f t="shared" si="19"/>
        <v>0.99577354552569786</v>
      </c>
      <c r="J24">
        <f t="shared" si="19"/>
        <v>0.98935559613879465</v>
      </c>
      <c r="K24">
        <f t="shared" si="19"/>
        <v>1.0147143229846072</v>
      </c>
      <c r="L24">
        <f t="shared" si="19"/>
        <v>1.0080354813462038</v>
      </c>
      <c r="M24">
        <f t="shared" si="19"/>
        <v>1.0078267675450037</v>
      </c>
      <c r="N24">
        <f t="shared" si="19"/>
        <v>1.0180015653535086</v>
      </c>
      <c r="O24">
        <f t="shared" si="19"/>
        <v>1.0300026089225147</v>
      </c>
      <c r="P24">
        <f t="shared" si="19"/>
        <v>1.0400208713801198</v>
      </c>
      <c r="Q24">
        <f t="shared" si="19"/>
        <v>1.0305765718758151</v>
      </c>
      <c r="R24">
        <f t="shared" si="19"/>
        <v>1.0327680667884163</v>
      </c>
      <c r="S24">
        <f t="shared" si="19"/>
        <v>1.0374119488651186</v>
      </c>
      <c r="T24">
        <f t="shared" si="19"/>
        <v>1.0424732585442209</v>
      </c>
      <c r="U24">
        <f t="shared" si="19"/>
        <v>1.0381946256196188</v>
      </c>
      <c r="V24">
        <f t="shared" si="19"/>
        <v>1.0540046960605267</v>
      </c>
      <c r="W24">
        <f t="shared" si="19"/>
        <v>1.0521262718497257</v>
      </c>
      <c r="X24">
        <f t="shared" si="19"/>
        <v>1.0420036524915206</v>
      </c>
      <c r="Y24">
        <f t="shared" si="19"/>
        <v>1.0374119488651183</v>
      </c>
      <c r="Z24">
        <f t="shared" si="19"/>
        <v>1.0368379859118182</v>
      </c>
      <c r="AA24">
        <f t="shared" si="19"/>
        <v>1.0402295851813199</v>
      </c>
      <c r="AB24">
        <f t="shared" si="19"/>
        <v>1.0490477432820242</v>
      </c>
      <c r="AC24">
        <f t="shared" si="19"/>
        <v>1.0505609183407247</v>
      </c>
      <c r="AD24">
        <f t="shared" si="19"/>
        <v>1.0481085311766234</v>
      </c>
      <c r="AE24">
        <f t="shared" si="19"/>
        <v>1.0553613357683269</v>
      </c>
      <c r="AF24">
        <f t="shared" si="19"/>
        <v>1.0266110096530126</v>
      </c>
      <c r="AG24">
        <f t="shared" si="19"/>
        <v>1.0128358987738058</v>
      </c>
      <c r="AH24">
        <f t="shared" si="19"/>
        <v>1.0327158883381156</v>
      </c>
      <c r="AI24">
        <f t="shared" si="19"/>
        <v>1.0351682755022167</v>
      </c>
      <c r="AJ24">
        <f t="shared" si="19"/>
        <v>1.0566136185755273</v>
      </c>
      <c r="AK24">
        <f t="shared" si="19"/>
        <v>1.0751891468823365</v>
      </c>
      <c r="AL24">
        <f t="shared" si="19"/>
        <v>1.076441429689537</v>
      </c>
      <c r="AM24">
        <f t="shared" si="19"/>
        <v>1.0758152882859366</v>
      </c>
      <c r="AN24">
        <f t="shared" si="19"/>
        <v>1.070284372554134</v>
      </c>
      <c r="AO24">
        <f t="shared" si="19"/>
        <v>1.0842160187842409</v>
      </c>
      <c r="AP24">
        <f t="shared" si="19"/>
        <v>1.0858335507435417</v>
      </c>
      <c r="AQ24">
        <f t="shared" si="19"/>
        <v>1.0665797025828321</v>
      </c>
      <c r="AR24">
        <f t="shared" si="19"/>
        <v>1.0709626924080342</v>
      </c>
      <c r="AS24">
        <f t="shared" si="19"/>
        <v>1.094599530393946</v>
      </c>
      <c r="AT24">
        <f t="shared" si="19"/>
        <v>1.0888077224106432</v>
      </c>
      <c r="AU24">
        <f t="shared" si="19"/>
        <v>1.1093138533785536</v>
      </c>
      <c r="AV24">
        <f t="shared" si="19"/>
        <v>1.1117140620923547</v>
      </c>
      <c r="AW24">
        <f t="shared" si="19"/>
        <v>1.1229846073571601</v>
      </c>
      <c r="AX24">
        <f t="shared" si="19"/>
        <v>1.1390555700495684</v>
      </c>
      <c r="AY24">
        <f t="shared" si="19"/>
        <v>1.1378032872423676</v>
      </c>
      <c r="AZ24">
        <f t="shared" si="19"/>
        <v>1.1578919906078777</v>
      </c>
      <c r="BA24">
        <f t="shared" si="19"/>
        <v>1.1430211322723702</v>
      </c>
      <c r="BB24">
        <f t="shared" si="19"/>
        <v>1.1539264283850759</v>
      </c>
      <c r="BC24">
        <f t="shared" si="19"/>
        <v>1.1571614923036775</v>
      </c>
      <c r="BD24">
        <f t="shared" si="19"/>
        <v>1.1590920949647785</v>
      </c>
      <c r="BE24">
        <f t="shared" si="19"/>
        <v>1.1554396034437768</v>
      </c>
      <c r="BF24">
        <f t="shared" si="19"/>
        <v>1.1548134620401764</v>
      </c>
      <c r="BG24">
        <f t="shared" si="19"/>
        <v>1.1466736237933723</v>
      </c>
      <c r="BH24">
        <f t="shared" si="19"/>
        <v>1.1371771458387676</v>
      </c>
      <c r="BI24">
        <f t="shared" si="19"/>
        <v>1.1211583615966596</v>
      </c>
      <c r="BJ24">
        <f t="shared" si="19"/>
        <v>1.1363944690842671</v>
      </c>
      <c r="BK24">
        <f t="shared" si="19"/>
        <v>1.1647795460474815</v>
      </c>
      <c r="BL24">
        <f t="shared" si="19"/>
        <v>1.0932950691364458</v>
      </c>
      <c r="BM24">
        <f t="shared" si="19"/>
        <v>1.053535090007826</v>
      </c>
    </row>
    <row r="25" spans="2:68">
      <c r="B25" t="str">
        <f t="shared" si="18"/>
        <v>MTCH</v>
      </c>
      <c r="C25">
        <v>1</v>
      </c>
      <c r="D25">
        <f t="shared" ref="D25:BM25" si="20">C25*(1+D16)</f>
        <v>1.0001370050691876</v>
      </c>
      <c r="E25">
        <f t="shared" si="20"/>
        <v>0.97561309768461424</v>
      </c>
      <c r="F25">
        <f t="shared" si="20"/>
        <v>0.94218386080284966</v>
      </c>
      <c r="G25">
        <f t="shared" si="20"/>
        <v>0.91848198383340196</v>
      </c>
      <c r="H25">
        <f t="shared" si="20"/>
        <v>0.95492533223729292</v>
      </c>
      <c r="I25">
        <f t="shared" si="20"/>
        <v>0.94643101794766415</v>
      </c>
      <c r="J25">
        <f t="shared" si="20"/>
        <v>0.94108782024934934</v>
      </c>
      <c r="K25">
        <f t="shared" si="20"/>
        <v>0.93725167831209766</v>
      </c>
      <c r="L25">
        <f t="shared" si="20"/>
        <v>0.94122482531853713</v>
      </c>
      <c r="M25">
        <f t="shared" si="20"/>
        <v>0.95054117002329119</v>
      </c>
      <c r="N25">
        <f t="shared" si="20"/>
        <v>0.96013152486642039</v>
      </c>
      <c r="O25">
        <f t="shared" si="20"/>
        <v>0.97396903685436409</v>
      </c>
      <c r="P25">
        <f t="shared" si="20"/>
        <v>0.98451842718180627</v>
      </c>
      <c r="Q25">
        <f t="shared" si="20"/>
        <v>0.96547472256473543</v>
      </c>
      <c r="R25">
        <f t="shared" si="20"/>
        <v>0.95958350458967046</v>
      </c>
      <c r="S25">
        <f t="shared" si="20"/>
        <v>0.95725441841348191</v>
      </c>
      <c r="T25">
        <f t="shared" si="20"/>
        <v>0.94917111933141585</v>
      </c>
      <c r="U25">
        <f t="shared" si="20"/>
        <v>0.96410467187285986</v>
      </c>
      <c r="V25">
        <f t="shared" si="20"/>
        <v>0.96109056035073348</v>
      </c>
      <c r="W25">
        <f t="shared" si="20"/>
        <v>0.96561172763392289</v>
      </c>
      <c r="X25">
        <f t="shared" si="20"/>
        <v>0.93738868338128545</v>
      </c>
      <c r="Y25">
        <f t="shared" si="20"/>
        <v>0.93519660227428458</v>
      </c>
      <c r="Z25">
        <f t="shared" si="20"/>
        <v>0.9313604603370329</v>
      </c>
      <c r="AA25">
        <f t="shared" si="20"/>
        <v>0.9334155363748462</v>
      </c>
      <c r="AB25">
        <f t="shared" si="20"/>
        <v>0.92985340457596977</v>
      </c>
      <c r="AC25">
        <f t="shared" si="20"/>
        <v>0.92903137416084436</v>
      </c>
      <c r="AD25">
        <f t="shared" si="20"/>
        <v>0.93505959720509702</v>
      </c>
      <c r="AE25">
        <f t="shared" si="20"/>
        <v>0.94012878476503681</v>
      </c>
      <c r="AF25">
        <f t="shared" si="20"/>
        <v>0.94656802301685217</v>
      </c>
      <c r="AG25">
        <f t="shared" si="20"/>
        <v>0.98520345252774388</v>
      </c>
      <c r="AH25">
        <f t="shared" si="20"/>
        <v>0.99068365529524638</v>
      </c>
      <c r="AI25">
        <f t="shared" si="20"/>
        <v>0.97328401150842636</v>
      </c>
      <c r="AJ25">
        <f t="shared" si="20"/>
        <v>0.9760241128921775</v>
      </c>
      <c r="AK25">
        <f t="shared" si="20"/>
        <v>1.0597342101657767</v>
      </c>
      <c r="AL25">
        <f t="shared" si="20"/>
        <v>1.0941224825318545</v>
      </c>
      <c r="AM25">
        <f t="shared" si="20"/>
        <v>1.0985066447458567</v>
      </c>
      <c r="AN25">
        <f t="shared" si="20"/>
        <v>1.1089190300041112</v>
      </c>
      <c r="AO25">
        <f t="shared" si="20"/>
        <v>1.1304288258665582</v>
      </c>
      <c r="AP25">
        <f t="shared" si="20"/>
        <v>1.1512535963830672</v>
      </c>
      <c r="AQ25">
        <f t="shared" si="20"/>
        <v>1.1368680641183735</v>
      </c>
      <c r="AR25">
        <f t="shared" si="20"/>
        <v>1.1249486230990557</v>
      </c>
      <c r="AS25">
        <f t="shared" si="20"/>
        <v>1.1534456774900681</v>
      </c>
      <c r="AT25">
        <f t="shared" si="20"/>
        <v>1.15221263186738</v>
      </c>
      <c r="AU25">
        <f t="shared" si="20"/>
        <v>1.1552267433895065</v>
      </c>
      <c r="AV25">
        <f t="shared" si="20"/>
        <v>1.1483764899301285</v>
      </c>
      <c r="AW25">
        <f t="shared" si="20"/>
        <v>1.1652281134401983</v>
      </c>
      <c r="AX25">
        <f t="shared" si="20"/>
        <v>1.1748184682833274</v>
      </c>
      <c r="AY25">
        <f t="shared" si="20"/>
        <v>1.1937251678312106</v>
      </c>
      <c r="AZ25">
        <f t="shared" si="20"/>
        <v>1.227291409782163</v>
      </c>
      <c r="BA25">
        <f t="shared" si="20"/>
        <v>1.2292094807507887</v>
      </c>
      <c r="BB25">
        <f t="shared" si="20"/>
        <v>1.2481161802986718</v>
      </c>
      <c r="BC25">
        <f t="shared" si="20"/>
        <v>1.2666118646389926</v>
      </c>
      <c r="BD25">
        <f t="shared" si="20"/>
        <v>1.2482531853678593</v>
      </c>
      <c r="BE25">
        <f t="shared" si="20"/>
        <v>1.2296204959583512</v>
      </c>
      <c r="BF25">
        <f t="shared" si="20"/>
        <v>1.2270173996437876</v>
      </c>
      <c r="BG25">
        <f t="shared" si="20"/>
        <v>1.2120838471023436</v>
      </c>
      <c r="BH25">
        <f t="shared" si="20"/>
        <v>1.1723523770379511</v>
      </c>
      <c r="BI25">
        <f t="shared" si="20"/>
        <v>1.155637758597069</v>
      </c>
      <c r="BJ25">
        <f t="shared" si="20"/>
        <v>1.150294560898754</v>
      </c>
      <c r="BK25">
        <f t="shared" si="20"/>
        <v>1.1101520756267991</v>
      </c>
      <c r="BL25">
        <f t="shared" si="20"/>
        <v>1.1104260857651742</v>
      </c>
      <c r="BM25">
        <f t="shared" si="20"/>
        <v>1.0716536511850947</v>
      </c>
    </row>
    <row r="26" spans="2:68">
      <c r="B26" t="str">
        <f t="shared" si="18"/>
        <v>T</v>
      </c>
      <c r="C26">
        <v>1</v>
      </c>
      <c r="D26">
        <f t="shared" ref="D26:BM26" si="21">C26*(1+D17)</f>
        <v>1.0119511561444532</v>
      </c>
      <c r="E26">
        <f t="shared" si="21"/>
        <v>1.0103923096908287</v>
      </c>
      <c r="F26">
        <f t="shared" si="21"/>
        <v>1.0176669264744089</v>
      </c>
      <c r="G26">
        <f t="shared" si="21"/>
        <v>1.0197453884125747</v>
      </c>
      <c r="H26">
        <f t="shared" si="21"/>
        <v>1.024162120031177</v>
      </c>
      <c r="I26">
        <f t="shared" si="21"/>
        <v>1.023122889062094</v>
      </c>
      <c r="J26">
        <f t="shared" si="21"/>
        <v>1.0228630813198232</v>
      </c>
      <c r="K26">
        <f t="shared" si="21"/>
        <v>1.0176669264744089</v>
      </c>
      <c r="L26">
        <f t="shared" si="21"/>
        <v>1.0174071187321381</v>
      </c>
      <c r="M26">
        <f t="shared" si="21"/>
        <v>1.0119511561444532</v>
      </c>
      <c r="N26">
        <f t="shared" si="21"/>
        <v>1.0262405819693425</v>
      </c>
      <c r="O26">
        <f t="shared" si="21"/>
        <v>1.0296180826188619</v>
      </c>
      <c r="P26">
        <f t="shared" si="21"/>
        <v>0.98726942062873446</v>
      </c>
      <c r="Q26">
        <f t="shared" si="21"/>
        <v>0.96596518576253543</v>
      </c>
      <c r="R26">
        <f t="shared" si="21"/>
        <v>0.97687711093790575</v>
      </c>
      <c r="S26">
        <f t="shared" si="21"/>
        <v>0.98077422707196649</v>
      </c>
      <c r="T26">
        <f t="shared" si="21"/>
        <v>0.96804364770070117</v>
      </c>
      <c r="U26">
        <f t="shared" si="21"/>
        <v>0.97168095609249128</v>
      </c>
      <c r="V26">
        <f t="shared" si="21"/>
        <v>0.97843595739152989</v>
      </c>
      <c r="W26">
        <f t="shared" si="21"/>
        <v>0.9711613406079499</v>
      </c>
      <c r="X26">
        <f t="shared" si="21"/>
        <v>0.96960249415432553</v>
      </c>
      <c r="Y26">
        <f t="shared" si="21"/>
        <v>0.97557807222655191</v>
      </c>
      <c r="Z26">
        <f t="shared" si="21"/>
        <v>0.98986749805144159</v>
      </c>
      <c r="AA26">
        <f t="shared" si="21"/>
        <v>0.99220576773187796</v>
      </c>
      <c r="AB26">
        <f t="shared" si="21"/>
        <v>0.99246557547414882</v>
      </c>
      <c r="AC26">
        <f t="shared" si="21"/>
        <v>0.98830865159781722</v>
      </c>
      <c r="AD26">
        <f t="shared" si="21"/>
        <v>0.98882826708235871</v>
      </c>
      <c r="AE26">
        <f t="shared" si="21"/>
        <v>0.99168615224733658</v>
      </c>
      <c r="AF26">
        <f t="shared" si="21"/>
        <v>0.99636269160820945</v>
      </c>
      <c r="AG26">
        <f t="shared" si="21"/>
        <v>0.99402442192777285</v>
      </c>
      <c r="AH26">
        <f t="shared" si="21"/>
        <v>1.0025980774227068</v>
      </c>
      <c r="AI26">
        <f t="shared" si="21"/>
        <v>1.0002598077422702</v>
      </c>
      <c r="AJ26">
        <f t="shared" si="21"/>
        <v>1.0064951935567676</v>
      </c>
      <c r="AK26">
        <f t="shared" si="21"/>
        <v>1.0114315406599113</v>
      </c>
      <c r="AL26">
        <f t="shared" si="21"/>
        <v>1.017147310989867</v>
      </c>
      <c r="AM26">
        <f t="shared" si="21"/>
        <v>1.0150688490517012</v>
      </c>
      <c r="AN26">
        <f t="shared" si="21"/>
        <v>1.0122109638867234</v>
      </c>
      <c r="AO26">
        <f t="shared" si="21"/>
        <v>1.0174071187321376</v>
      </c>
      <c r="AP26">
        <f t="shared" si="21"/>
        <v>1.0194855806703034</v>
      </c>
      <c r="AQ26">
        <f t="shared" si="21"/>
        <v>1.0142894258248889</v>
      </c>
      <c r="AR26">
        <f t="shared" si="21"/>
        <v>1.0153286567939717</v>
      </c>
      <c r="AS26">
        <f t="shared" si="21"/>
        <v>1.0096128864640159</v>
      </c>
      <c r="AT26">
        <f t="shared" si="21"/>
        <v>1.0148090413094304</v>
      </c>
      <c r="AU26">
        <f t="shared" si="21"/>
        <v>1.0158482722785132</v>
      </c>
      <c r="AV26">
        <f t="shared" si="21"/>
        <v>1.0197453884125738</v>
      </c>
      <c r="AW26">
        <f t="shared" si="21"/>
        <v>1.0228630813198225</v>
      </c>
      <c r="AX26">
        <f t="shared" si="21"/>
        <v>1.0080540400103915</v>
      </c>
      <c r="AY26">
        <f t="shared" si="21"/>
        <v>1.0020784619381651</v>
      </c>
      <c r="AZ26">
        <f t="shared" si="21"/>
        <v>0.98986749805144136</v>
      </c>
      <c r="BA26">
        <f t="shared" si="21"/>
        <v>0.98960769030917073</v>
      </c>
      <c r="BB26">
        <f t="shared" si="21"/>
        <v>0.98389191997921477</v>
      </c>
      <c r="BC26">
        <f t="shared" si="21"/>
        <v>0.98804884385554648</v>
      </c>
      <c r="BD26">
        <f t="shared" si="21"/>
        <v>0.9971421148350218</v>
      </c>
      <c r="BE26">
        <f t="shared" si="21"/>
        <v>1.0007794232268119</v>
      </c>
      <c r="BF26">
        <f t="shared" si="21"/>
        <v>1.0142894258248893</v>
      </c>
      <c r="BG26">
        <f t="shared" si="21"/>
        <v>1.00363730839179</v>
      </c>
      <c r="BH26">
        <f t="shared" si="21"/>
        <v>1.0002598077422706</v>
      </c>
      <c r="BI26">
        <f t="shared" si="21"/>
        <v>0.99376461418550266</v>
      </c>
      <c r="BJ26">
        <f t="shared" si="21"/>
        <v>1.0023382696804364</v>
      </c>
      <c r="BK26">
        <f t="shared" si="21"/>
        <v>0.96258768511301618</v>
      </c>
      <c r="BL26">
        <f t="shared" si="21"/>
        <v>0.97246037931930351</v>
      </c>
      <c r="BM26">
        <f t="shared" si="21"/>
        <v>0.97739672642244713</v>
      </c>
    </row>
    <row r="27" spans="2:68">
      <c r="B27" t="str">
        <f t="shared" si="18"/>
        <v>GOOGL</v>
      </c>
      <c r="C27">
        <v>1</v>
      </c>
      <c r="D27">
        <f t="shared" ref="D27:BM27" si="22">C27*(1+D18)</f>
        <v>1.0106847791547506</v>
      </c>
      <c r="E27">
        <f t="shared" si="22"/>
        <v>1.0244756911344137</v>
      </c>
      <c r="F27">
        <f t="shared" si="22"/>
        <v>1.0259294566253576</v>
      </c>
      <c r="G27">
        <f t="shared" si="22"/>
        <v>1.0255878614553544</v>
      </c>
      <c r="H27">
        <f t="shared" si="22"/>
        <v>1.0382427708929138</v>
      </c>
      <c r="I27">
        <f t="shared" si="22"/>
        <v>1.0398792500794407</v>
      </c>
      <c r="J27">
        <f t="shared" si="22"/>
        <v>1.0313632030505242</v>
      </c>
      <c r="K27">
        <f t="shared" si="22"/>
        <v>1.0305131871623767</v>
      </c>
      <c r="L27">
        <f t="shared" si="22"/>
        <v>1.0296949475691133</v>
      </c>
      <c r="M27">
        <f t="shared" si="22"/>
        <v>1.0399984111852556</v>
      </c>
      <c r="N27">
        <f t="shared" si="22"/>
        <v>1.0593740069907847</v>
      </c>
      <c r="O27">
        <f t="shared" si="22"/>
        <v>1.0484906259930089</v>
      </c>
      <c r="P27">
        <f t="shared" si="22"/>
        <v>1.0427311725452808</v>
      </c>
      <c r="Q27">
        <f t="shared" si="22"/>
        <v>1.0342071814426432</v>
      </c>
      <c r="R27">
        <f t="shared" si="22"/>
        <v>1.0328408007626306</v>
      </c>
      <c r="S27">
        <f t="shared" si="22"/>
        <v>1.0277009850651408</v>
      </c>
      <c r="T27">
        <f t="shared" si="22"/>
        <v>1.0372100413091829</v>
      </c>
      <c r="U27">
        <f t="shared" si="22"/>
        <v>1.0430568795678419</v>
      </c>
      <c r="V27">
        <f t="shared" si="22"/>
        <v>1.0423657451541146</v>
      </c>
      <c r="W27">
        <f t="shared" si="22"/>
        <v>1.0359787098824271</v>
      </c>
      <c r="X27">
        <f t="shared" si="22"/>
        <v>1.0238798856053377</v>
      </c>
      <c r="Y27">
        <f t="shared" si="22"/>
        <v>1.0285510009532883</v>
      </c>
      <c r="Z27">
        <f t="shared" si="22"/>
        <v>1.0477756593581182</v>
      </c>
      <c r="AA27">
        <f t="shared" si="22"/>
        <v>1.0541468064823636</v>
      </c>
      <c r="AB27">
        <f t="shared" si="22"/>
        <v>1.0640212901175718</v>
      </c>
      <c r="AC27">
        <f t="shared" si="22"/>
        <v>1.0668811566571332</v>
      </c>
      <c r="AD27">
        <f t="shared" si="22"/>
        <v>1.0668017159199232</v>
      </c>
      <c r="AE27">
        <f t="shared" si="22"/>
        <v>1.0678821099459797</v>
      </c>
      <c r="AF27">
        <f t="shared" si="22"/>
        <v>1.0712503972036855</v>
      </c>
      <c r="AG27">
        <f t="shared" si="22"/>
        <v>1.0699634572608827</v>
      </c>
      <c r="AH27">
        <f t="shared" si="22"/>
        <v>1.0809501112170317</v>
      </c>
      <c r="AI27">
        <f t="shared" si="22"/>
        <v>1.0763346043851283</v>
      </c>
      <c r="AJ27">
        <f t="shared" si="22"/>
        <v>1.073967270416269</v>
      </c>
      <c r="AK27">
        <f t="shared" si="22"/>
        <v>1.0775659358118839</v>
      </c>
      <c r="AL27">
        <f t="shared" si="22"/>
        <v>1.0734191293295197</v>
      </c>
      <c r="AM27">
        <f t="shared" si="22"/>
        <v>1.0729504289799805</v>
      </c>
      <c r="AN27">
        <f t="shared" si="22"/>
        <v>1.068025103272958</v>
      </c>
      <c r="AO27">
        <f t="shared" si="22"/>
        <v>1.0823562122656494</v>
      </c>
      <c r="AP27">
        <f t="shared" si="22"/>
        <v>1.0761360025421032</v>
      </c>
      <c r="AQ27">
        <f t="shared" si="22"/>
        <v>1.064275500476644</v>
      </c>
      <c r="AR27">
        <f t="shared" si="22"/>
        <v>1.0640212901175718</v>
      </c>
      <c r="AS27">
        <f t="shared" si="22"/>
        <v>1.087289482046393</v>
      </c>
      <c r="AT27">
        <f t="shared" si="22"/>
        <v>1.081601525262154</v>
      </c>
      <c r="AU27">
        <f t="shared" si="22"/>
        <v>1.1104305687956779</v>
      </c>
      <c r="AV27">
        <f t="shared" si="22"/>
        <v>1.1082856688910068</v>
      </c>
      <c r="AW27">
        <f t="shared" si="22"/>
        <v>1.1161741340959639</v>
      </c>
      <c r="AX27">
        <f t="shared" si="22"/>
        <v>1.127891642834445</v>
      </c>
      <c r="AY27">
        <f t="shared" si="22"/>
        <v>1.1351763584366057</v>
      </c>
      <c r="AZ27">
        <f t="shared" si="22"/>
        <v>1.1439704480457571</v>
      </c>
      <c r="BA27">
        <f t="shared" si="22"/>
        <v>1.1364712424531291</v>
      </c>
      <c r="BB27">
        <f t="shared" si="22"/>
        <v>1.1433110899269139</v>
      </c>
      <c r="BC27">
        <f t="shared" si="22"/>
        <v>1.1520177947251344</v>
      </c>
      <c r="BD27">
        <f t="shared" si="22"/>
        <v>1.1753415951700026</v>
      </c>
      <c r="BE27">
        <f t="shared" si="22"/>
        <v>1.1775103272958367</v>
      </c>
      <c r="BF27">
        <f t="shared" si="22"/>
        <v>1.1790355894502695</v>
      </c>
      <c r="BG27">
        <f t="shared" si="22"/>
        <v>1.1794486812837617</v>
      </c>
      <c r="BH27">
        <f t="shared" si="22"/>
        <v>1.1647362567524622</v>
      </c>
      <c r="BI27">
        <f t="shared" si="22"/>
        <v>1.1373768668573239</v>
      </c>
      <c r="BJ27">
        <f t="shared" si="22"/>
        <v>1.1522878932316487</v>
      </c>
      <c r="BK27">
        <f t="shared" si="22"/>
        <v>1.1572132189386712</v>
      </c>
      <c r="BL27">
        <f t="shared" si="22"/>
        <v>1.1552669208770252</v>
      </c>
      <c r="BM27">
        <f t="shared" si="22"/>
        <v>1.1382109945980294</v>
      </c>
    </row>
    <row r="28" spans="2:68">
      <c r="B28" t="str">
        <f t="shared" si="18"/>
        <v>DIS</v>
      </c>
      <c r="C28">
        <v>1</v>
      </c>
      <c r="D28">
        <f t="shared" ref="D28:BM28" si="23">C28*(1+D19)</f>
        <v>1.0217826354679804</v>
      </c>
      <c r="E28">
        <f t="shared" si="23"/>
        <v>1.0230911330049262</v>
      </c>
      <c r="F28">
        <f t="shared" si="23"/>
        <v>1.0117764778325125</v>
      </c>
      <c r="G28">
        <f t="shared" si="23"/>
        <v>1.0103910098522171</v>
      </c>
      <c r="H28">
        <f t="shared" si="23"/>
        <v>1.0233990147783254</v>
      </c>
      <c r="I28">
        <f t="shared" si="23"/>
        <v>1.0618842364532022</v>
      </c>
      <c r="J28">
        <f t="shared" si="23"/>
        <v>1.0524938423645323</v>
      </c>
      <c r="K28">
        <f t="shared" si="23"/>
        <v>1.066656403940887</v>
      </c>
      <c r="L28">
        <f t="shared" si="23"/>
        <v>1.1447044334975371</v>
      </c>
      <c r="M28">
        <f t="shared" si="23"/>
        <v>1.1326200738916259</v>
      </c>
      <c r="N28">
        <f t="shared" si="23"/>
        <v>1.1135314039408868</v>
      </c>
      <c r="O28">
        <f t="shared" si="23"/>
        <v>1.1364685960591134</v>
      </c>
      <c r="P28">
        <f t="shared" si="23"/>
        <v>1.1420874384236452</v>
      </c>
      <c r="Q28">
        <f t="shared" si="23"/>
        <v>1.130926724137931</v>
      </c>
      <c r="R28">
        <f t="shared" si="23"/>
        <v>1.1306958128078819</v>
      </c>
      <c r="S28">
        <f t="shared" si="23"/>
        <v>1.1413947044334976</v>
      </c>
      <c r="T28">
        <f t="shared" si="23"/>
        <v>1.1521705665024631</v>
      </c>
      <c r="U28">
        <f t="shared" si="23"/>
        <v>1.167179802955665</v>
      </c>
      <c r="V28">
        <f t="shared" si="23"/>
        <v>1.165948275862069</v>
      </c>
      <c r="W28">
        <f t="shared" si="23"/>
        <v>1.1667179802955665</v>
      </c>
      <c r="X28">
        <f t="shared" si="23"/>
        <v>1.15932881773399</v>
      </c>
      <c r="Y28">
        <f t="shared" si="23"/>
        <v>1.1436268472906403</v>
      </c>
      <c r="Z28">
        <f t="shared" si="23"/>
        <v>1.1413177339901477</v>
      </c>
      <c r="AA28">
        <f t="shared" si="23"/>
        <v>1.1348522167487685</v>
      </c>
      <c r="AB28">
        <f t="shared" si="23"/>
        <v>1.1365455665024631</v>
      </c>
      <c r="AC28">
        <f t="shared" si="23"/>
        <v>1.1253848522167489</v>
      </c>
      <c r="AD28">
        <f t="shared" si="23"/>
        <v>1.1245381773399015</v>
      </c>
      <c r="AE28">
        <f t="shared" si="23"/>
        <v>1.1360067733990149</v>
      </c>
      <c r="AF28">
        <f t="shared" si="23"/>
        <v>1.1373152709359606</v>
      </c>
      <c r="AG28">
        <f t="shared" si="23"/>
        <v>1.1266933497536946</v>
      </c>
      <c r="AH28">
        <f t="shared" si="23"/>
        <v>1.1427032019704435</v>
      </c>
      <c r="AI28">
        <f t="shared" si="23"/>
        <v>1.1370843596059115</v>
      </c>
      <c r="AJ28">
        <f t="shared" si="23"/>
        <v>1.1257697044334976</v>
      </c>
      <c r="AK28">
        <f t="shared" si="23"/>
        <v>1.1249230295566504</v>
      </c>
      <c r="AL28">
        <f t="shared" si="23"/>
        <v>1.1305418719211824</v>
      </c>
      <c r="AM28">
        <f t="shared" si="23"/>
        <v>1.1136083743842367</v>
      </c>
      <c r="AN28">
        <f t="shared" si="23"/>
        <v>1.1183035714285716</v>
      </c>
      <c r="AO28">
        <f t="shared" si="23"/>
        <v>1.1214593596059115</v>
      </c>
      <c r="AP28">
        <f t="shared" si="23"/>
        <v>1.1218442118226601</v>
      </c>
      <c r="AQ28">
        <f t="shared" si="23"/>
        <v>1.106604064039409</v>
      </c>
      <c r="AR28">
        <f t="shared" si="23"/>
        <v>1.1132235221674878</v>
      </c>
      <c r="AS28">
        <f t="shared" si="23"/>
        <v>1.1407019704433499</v>
      </c>
      <c r="AT28">
        <f t="shared" si="23"/>
        <v>1.1276169950738919</v>
      </c>
      <c r="AU28">
        <f t="shared" si="23"/>
        <v>1.1210745073891628</v>
      </c>
      <c r="AV28">
        <f t="shared" si="23"/>
        <v>1.1214593596059115</v>
      </c>
      <c r="AW28">
        <f t="shared" si="23"/>
        <v>1.119150246305419</v>
      </c>
      <c r="AX28">
        <f t="shared" si="23"/>
        <v>1.1147629310344831</v>
      </c>
      <c r="AY28">
        <f t="shared" si="23"/>
        <v>1.1131465517241381</v>
      </c>
      <c r="AZ28">
        <f t="shared" si="23"/>
        <v>1.1074507389162562</v>
      </c>
      <c r="BA28">
        <f t="shared" si="23"/>
        <v>1.1176108374384237</v>
      </c>
      <c r="BB28">
        <f t="shared" si="23"/>
        <v>1.1108374384236455</v>
      </c>
      <c r="BC28">
        <f t="shared" si="23"/>
        <v>1.1169950738916259</v>
      </c>
      <c r="BD28">
        <f t="shared" si="23"/>
        <v>1.1109144088669956</v>
      </c>
      <c r="BE28">
        <f t="shared" si="23"/>
        <v>1.1049876847290645</v>
      </c>
      <c r="BF28">
        <f t="shared" si="23"/>
        <v>1.1084513546798034</v>
      </c>
      <c r="BG28">
        <f t="shared" si="23"/>
        <v>1.094519704433498</v>
      </c>
      <c r="BH28">
        <f t="shared" si="23"/>
        <v>1.0782019704433503</v>
      </c>
      <c r="BI28">
        <f t="shared" si="23"/>
        <v>1.0460283251231532</v>
      </c>
      <c r="BJ28">
        <f t="shared" si="23"/>
        <v>1.0650400246305425</v>
      </c>
      <c r="BK28">
        <f t="shared" si="23"/>
        <v>1.0472598522167493</v>
      </c>
      <c r="BL28">
        <f t="shared" si="23"/>
        <v>1.0607296798029564</v>
      </c>
      <c r="BM28">
        <f t="shared" si="23"/>
        <v>1.0645782019704442</v>
      </c>
    </row>
    <row r="29" spans="2:68">
      <c r="B29" t="str">
        <f t="shared" si="18"/>
        <v>ATVI</v>
      </c>
      <c r="C29">
        <v>1</v>
      </c>
      <c r="D29">
        <f t="shared" ref="D29:BM29" si="24">C29*(1+D20)</f>
        <v>0.99625200785293588</v>
      </c>
      <c r="E29">
        <f t="shared" si="24"/>
        <v>0.99428877387114045</v>
      </c>
      <c r="F29">
        <f t="shared" si="24"/>
        <v>0.99125468499018377</v>
      </c>
      <c r="G29">
        <f t="shared" si="24"/>
        <v>1.0058897019453865</v>
      </c>
      <c r="H29">
        <f t="shared" si="24"/>
        <v>0.97358557915402466</v>
      </c>
      <c r="I29">
        <f t="shared" si="24"/>
        <v>0.96912368374085311</v>
      </c>
      <c r="J29">
        <f t="shared" si="24"/>
        <v>0.93735498839907205</v>
      </c>
      <c r="K29">
        <f t="shared" si="24"/>
        <v>0.92718186685704107</v>
      </c>
      <c r="L29">
        <f t="shared" si="24"/>
        <v>0.93396394788506176</v>
      </c>
      <c r="M29">
        <f t="shared" si="24"/>
        <v>0.94056755309655571</v>
      </c>
      <c r="N29">
        <f t="shared" si="24"/>
        <v>0.95377476351954327</v>
      </c>
      <c r="O29">
        <f t="shared" si="24"/>
        <v>0.94110298054613617</v>
      </c>
      <c r="P29">
        <f t="shared" si="24"/>
        <v>0.95091915045511344</v>
      </c>
      <c r="Q29">
        <f t="shared" si="24"/>
        <v>0.96528645368552568</v>
      </c>
      <c r="R29">
        <f t="shared" si="24"/>
        <v>0.95823665893271459</v>
      </c>
      <c r="S29">
        <f t="shared" si="24"/>
        <v>0.94663573085846864</v>
      </c>
      <c r="T29">
        <f t="shared" si="24"/>
        <v>0.95895056219882202</v>
      </c>
      <c r="U29">
        <f t="shared" si="24"/>
        <v>0.96680349812600397</v>
      </c>
      <c r="V29">
        <f t="shared" si="24"/>
        <v>0.97233624843833644</v>
      </c>
      <c r="W29">
        <f t="shared" si="24"/>
        <v>0.97858290201677656</v>
      </c>
      <c r="X29">
        <f t="shared" si="24"/>
        <v>0.96787435302516489</v>
      </c>
      <c r="Y29">
        <f t="shared" si="24"/>
        <v>0.97429948242013198</v>
      </c>
      <c r="Z29">
        <f t="shared" si="24"/>
        <v>0.96162769944672488</v>
      </c>
      <c r="AA29">
        <f t="shared" si="24"/>
        <v>0.9814385150812065</v>
      </c>
      <c r="AB29">
        <f t="shared" si="24"/>
        <v>0.98536498304479736</v>
      </c>
      <c r="AC29">
        <f t="shared" si="24"/>
        <v>0.97072996608959483</v>
      </c>
      <c r="AD29">
        <f t="shared" si="24"/>
        <v>0.99839371765125817</v>
      </c>
      <c r="AE29">
        <f t="shared" si="24"/>
        <v>1.0080314117437086</v>
      </c>
      <c r="AF29">
        <f t="shared" si="24"/>
        <v>1.0451543815812956</v>
      </c>
      <c r="AG29">
        <f t="shared" si="24"/>
        <v>1.0467606639300373</v>
      </c>
      <c r="AH29">
        <f t="shared" si="24"/>
        <v>1.0460467606639299</v>
      </c>
      <c r="AI29">
        <f t="shared" si="24"/>
        <v>1.0398001070854899</v>
      </c>
      <c r="AJ29">
        <f t="shared" si="24"/>
        <v>1.0533642691415313</v>
      </c>
      <c r="AK29">
        <f t="shared" si="24"/>
        <v>1.0553275031233267</v>
      </c>
      <c r="AL29">
        <f t="shared" si="24"/>
        <v>1.0569337854720682</v>
      </c>
      <c r="AM29">
        <f t="shared" si="24"/>
        <v>1.0510440835266819</v>
      </c>
      <c r="AN29">
        <f t="shared" si="24"/>
        <v>1.049616276994467</v>
      </c>
      <c r="AO29">
        <f t="shared" si="24"/>
        <v>1.0510440835266819</v>
      </c>
      <c r="AP29">
        <f t="shared" si="24"/>
        <v>1.0563091201142245</v>
      </c>
      <c r="AQ29">
        <f t="shared" si="24"/>
        <v>1.0508656077101552</v>
      </c>
      <c r="AR29">
        <f t="shared" si="24"/>
        <v>1.0605033018026055</v>
      </c>
      <c r="AS29">
        <f t="shared" si="24"/>
        <v>1.0467606639300373</v>
      </c>
      <c r="AT29">
        <f t="shared" si="24"/>
        <v>1.0471176155630912</v>
      </c>
      <c r="AU29">
        <f t="shared" si="24"/>
        <v>1.0662145279314654</v>
      </c>
      <c r="AV29">
        <f t="shared" si="24"/>
        <v>1.0768338390148138</v>
      </c>
      <c r="AW29">
        <f t="shared" si="24"/>
        <v>1.0687131893628417</v>
      </c>
      <c r="AX29">
        <f t="shared" si="24"/>
        <v>1.0590754952703911</v>
      </c>
      <c r="AY29">
        <f t="shared" si="24"/>
        <v>1.0521149384258437</v>
      </c>
      <c r="AZ29">
        <f t="shared" si="24"/>
        <v>1.0572907371051226</v>
      </c>
      <c r="BA29">
        <f t="shared" si="24"/>
        <v>1.0717472782437982</v>
      </c>
      <c r="BB29">
        <f t="shared" si="24"/>
        <v>1.0644297697661971</v>
      </c>
      <c r="BC29">
        <f t="shared" si="24"/>
        <v>1.078529359271819</v>
      </c>
      <c r="BD29">
        <f t="shared" si="24"/>
        <v>1.0929859004104949</v>
      </c>
      <c r="BE29">
        <f t="shared" si="24"/>
        <v>1.0961984651079786</v>
      </c>
      <c r="BF29">
        <f t="shared" si="24"/>
        <v>1.0765661252900238</v>
      </c>
      <c r="BG29">
        <f t="shared" si="24"/>
        <v>1.0731750847760135</v>
      </c>
      <c r="BH29">
        <f t="shared" si="24"/>
        <v>1.0601463501695527</v>
      </c>
      <c r="BI29">
        <f t="shared" si="24"/>
        <v>1.0408709619846517</v>
      </c>
      <c r="BJ29">
        <f t="shared" si="24"/>
        <v>1.071390326610745</v>
      </c>
      <c r="BK29">
        <f t="shared" si="24"/>
        <v>1.0779939318222387</v>
      </c>
      <c r="BL29">
        <f t="shared" si="24"/>
        <v>1.0867392468320549</v>
      </c>
      <c r="BM29">
        <f t="shared" si="24"/>
        <v>1.0437265750490814</v>
      </c>
    </row>
    <row r="35" spans="13:17">
      <c r="M35" t="s">
        <v>83</v>
      </c>
      <c r="N35" t="s">
        <v>84</v>
      </c>
      <c r="P35">
        <v>210.11</v>
      </c>
    </row>
    <row r="36" spans="13:17">
      <c r="M36" t="s">
        <v>85</v>
      </c>
      <c r="N36" t="s">
        <v>86</v>
      </c>
      <c r="P36">
        <v>-44058</v>
      </c>
    </row>
    <row r="37" spans="13:17">
      <c r="M37" t="s">
        <v>87</v>
      </c>
      <c r="N37" t="s">
        <v>88</v>
      </c>
      <c r="P37" s="11">
        <v>2405.7460000000001</v>
      </c>
    </row>
    <row r="39" spans="13:17">
      <c r="M39" t="s">
        <v>91</v>
      </c>
      <c r="P39">
        <v>20.95</v>
      </c>
    </row>
    <row r="40" spans="13:17">
      <c r="M40" t="s">
        <v>92</v>
      </c>
      <c r="P40">
        <v>26.22</v>
      </c>
    </row>
    <row r="41" spans="13:17">
      <c r="M41" t="s">
        <v>94</v>
      </c>
      <c r="O41" t="s">
        <v>95</v>
      </c>
      <c r="P41" s="6">
        <v>11.879</v>
      </c>
    </row>
    <row r="42" spans="13:17">
      <c r="M42" t="s">
        <v>93</v>
      </c>
      <c r="O42" t="s">
        <v>96</v>
      </c>
      <c r="P42" s="11">
        <v>9409.0769999999993</v>
      </c>
    </row>
    <row r="44" spans="13:17">
      <c r="M44" t="s">
        <v>90</v>
      </c>
      <c r="P44" s="6">
        <v>120.86230173093915</v>
      </c>
    </row>
    <row r="45" spans="13:17">
      <c r="M45" t="s">
        <v>89</v>
      </c>
      <c r="P45" s="6">
        <v>248.86505</v>
      </c>
      <c r="Q45" s="12">
        <v>0.18445123982675726</v>
      </c>
    </row>
    <row r="49" spans="13:17">
      <c r="M49" t="s">
        <v>97</v>
      </c>
      <c r="N49" t="s">
        <v>98</v>
      </c>
      <c r="P49">
        <v>37.81</v>
      </c>
    </row>
    <row r="50" spans="13:17">
      <c r="M50" t="s">
        <v>85</v>
      </c>
      <c r="N50" t="s">
        <v>86</v>
      </c>
      <c r="P50">
        <v>172821</v>
      </c>
    </row>
    <row r="51" spans="13:17">
      <c r="M51" t="s">
        <v>87</v>
      </c>
      <c r="N51" t="s">
        <v>88</v>
      </c>
      <c r="P51" s="11">
        <v>7255</v>
      </c>
    </row>
    <row r="53" spans="13:17">
      <c r="M53" t="s">
        <v>91</v>
      </c>
      <c r="P53">
        <v>18.309999999999999</v>
      </c>
    </row>
    <row r="54" spans="13:17">
      <c r="M54" t="s">
        <v>92</v>
      </c>
      <c r="P54">
        <v>7.83</v>
      </c>
    </row>
    <row r="55" spans="13:17">
      <c r="M55" t="s">
        <v>94</v>
      </c>
      <c r="O55" t="s">
        <v>95</v>
      </c>
      <c r="P55" s="6">
        <v>3.7989999999999999</v>
      </c>
    </row>
    <row r="56" spans="13:17">
      <c r="M56" t="s">
        <v>93</v>
      </c>
      <c r="O56" t="s">
        <v>96</v>
      </c>
      <c r="P56" s="11">
        <v>14619.875</v>
      </c>
    </row>
    <row r="58" spans="13:17">
      <c r="M58" t="s">
        <v>90</v>
      </c>
      <c r="P58" s="6">
        <v>-8.0423678497587883</v>
      </c>
    </row>
    <row r="59" spans="13:17">
      <c r="M59" t="s">
        <v>89</v>
      </c>
      <c r="P59" s="6">
        <v>69.559689999999989</v>
      </c>
      <c r="Q59" s="12">
        <v>0.83971674160275023</v>
      </c>
    </row>
    <row r="62" spans="13:17">
      <c r="M62" t="s">
        <v>99</v>
      </c>
      <c r="N62" t="s">
        <v>100</v>
      </c>
      <c r="P62">
        <v>76</v>
      </c>
    </row>
    <row r="63" spans="13:17">
      <c r="M63" t="s">
        <v>85</v>
      </c>
      <c r="N63" t="s">
        <v>86</v>
      </c>
      <c r="P63">
        <v>1137.807</v>
      </c>
    </row>
    <row r="64" spans="13:17">
      <c r="M64" t="s">
        <v>87</v>
      </c>
      <c r="N64" t="s">
        <v>88</v>
      </c>
      <c r="P64" s="11">
        <v>70.447419999999994</v>
      </c>
    </row>
    <row r="66" spans="13:17">
      <c r="M66" t="s">
        <v>91</v>
      </c>
      <c r="P66">
        <v>44.82</v>
      </c>
    </row>
    <row r="67" spans="13:17">
      <c r="M67" t="s">
        <v>92</v>
      </c>
      <c r="P67">
        <v>25.03</v>
      </c>
    </row>
    <row r="68" spans="13:17">
      <c r="M68" t="s">
        <v>94</v>
      </c>
      <c r="O68" t="s">
        <v>95</v>
      </c>
      <c r="P68" s="6">
        <v>2.6830000000000003</v>
      </c>
    </row>
    <row r="69" spans="13:17">
      <c r="M69" t="s">
        <v>93</v>
      </c>
      <c r="O69" t="s">
        <v>96</v>
      </c>
      <c r="P69" s="11">
        <v>176.20000000000002</v>
      </c>
    </row>
    <row r="71" spans="13:17">
      <c r="M71" t="s">
        <v>90</v>
      </c>
      <c r="P71" s="6">
        <v>46.452787057354286</v>
      </c>
    </row>
    <row r="72" spans="13:17">
      <c r="M72" t="s">
        <v>89</v>
      </c>
      <c r="P72" s="6">
        <v>120.25206000000001</v>
      </c>
      <c r="Q72" s="12">
        <v>0.58226394736842124</v>
      </c>
    </row>
    <row r="75" spans="13:17">
      <c r="M75" t="s">
        <v>101</v>
      </c>
      <c r="N75" t="s">
        <v>102</v>
      </c>
      <c r="P75">
        <v>1446.05</v>
      </c>
    </row>
    <row r="76" spans="13:17">
      <c r="M76" t="s">
        <v>85</v>
      </c>
      <c r="N76" t="s">
        <v>86</v>
      </c>
      <c r="P76">
        <v>-103708</v>
      </c>
    </row>
    <row r="77" spans="13:17">
      <c r="M77" t="s">
        <v>87</v>
      </c>
      <c r="N77" t="s">
        <v>88</v>
      </c>
      <c r="P77" s="11">
        <v>299.89519999999999</v>
      </c>
    </row>
    <row r="79" spans="13:17">
      <c r="M79" t="s">
        <v>91</v>
      </c>
      <c r="P79">
        <v>22.85</v>
      </c>
    </row>
    <row r="80" spans="13:17">
      <c r="M80" t="s">
        <v>92</v>
      </c>
      <c r="P80">
        <v>13.05</v>
      </c>
    </row>
    <row r="81" spans="13:17">
      <c r="M81" t="s">
        <v>94</v>
      </c>
      <c r="O81" t="s">
        <v>95</v>
      </c>
      <c r="P81" s="6">
        <v>72.689000000000007</v>
      </c>
    </row>
    <row r="82" spans="13:17">
      <c r="M82" t="s">
        <v>93</v>
      </c>
      <c r="O82" t="s">
        <v>96</v>
      </c>
      <c r="P82" s="11">
        <v>15665.625</v>
      </c>
    </row>
    <row r="84" spans="13:17">
      <c r="M84" t="s">
        <v>90</v>
      </c>
      <c r="P84" s="6">
        <v>1027.5069632658342</v>
      </c>
    </row>
    <row r="85" spans="13:17">
      <c r="M85" t="s">
        <v>89</v>
      </c>
      <c r="P85" s="6">
        <v>1660.9436500000002</v>
      </c>
      <c r="Q85" s="12">
        <v>0.14860734414439358</v>
      </c>
    </row>
    <row r="88" spans="13:17">
      <c r="M88" t="s">
        <v>103</v>
      </c>
      <c r="N88" t="s">
        <v>6</v>
      </c>
      <c r="P88">
        <v>58.85</v>
      </c>
    </row>
    <row r="89" spans="13:17">
      <c r="M89" t="s">
        <v>85</v>
      </c>
      <c r="N89" t="s">
        <v>86</v>
      </c>
      <c r="P89">
        <v>-1554</v>
      </c>
    </row>
    <row r="90" spans="13:17">
      <c r="M90" t="s">
        <v>87</v>
      </c>
      <c r="N90" t="s">
        <v>88</v>
      </c>
      <c r="P90" s="11">
        <v>768.26009999999997</v>
      </c>
    </row>
    <row r="92" spans="13:17">
      <c r="M92" t="s">
        <v>91</v>
      </c>
      <c r="P92">
        <v>26.59</v>
      </c>
    </row>
    <row r="93" spans="13:17">
      <c r="M93" t="s">
        <v>92</v>
      </c>
      <c r="P93">
        <v>17.420000000000002</v>
      </c>
    </row>
    <row r="94" spans="13:17">
      <c r="M94" t="s">
        <v>94</v>
      </c>
      <c r="O94" t="s">
        <v>95</v>
      </c>
      <c r="P94" s="6">
        <v>2.4830000000000001</v>
      </c>
    </row>
    <row r="95" spans="13:17">
      <c r="M95" t="s">
        <v>93</v>
      </c>
      <c r="O95" t="s">
        <v>96</v>
      </c>
      <c r="P95" s="11">
        <v>1246.9169999999999</v>
      </c>
    </row>
    <row r="97" spans="13:20">
      <c r="M97" t="s">
        <v>90</v>
      </c>
      <c r="P97" s="6">
        <v>30.296112137022348</v>
      </c>
    </row>
    <row r="98" spans="13:20">
      <c r="M98" t="s">
        <v>89</v>
      </c>
      <c r="P98" s="6">
        <v>66.022970000000001</v>
      </c>
      <c r="Q98" s="12">
        <v>0.12188564146134229</v>
      </c>
    </row>
    <row r="101" spans="13:20">
      <c r="M101" t="s">
        <v>104</v>
      </c>
      <c r="N101" t="s">
        <v>105</v>
      </c>
      <c r="P101">
        <v>141.37</v>
      </c>
    </row>
    <row r="102" spans="13:20">
      <c r="M102" t="s">
        <v>85</v>
      </c>
      <c r="N102" t="s">
        <v>86</v>
      </c>
      <c r="P102">
        <v>41714</v>
      </c>
    </row>
    <row r="103" spans="13:20">
      <c r="M103" t="s">
        <v>87</v>
      </c>
      <c r="N103" t="s">
        <v>88</v>
      </c>
      <c r="P103" s="11">
        <v>1805.4389999999999</v>
      </c>
    </row>
    <row r="105" spans="13:20">
      <c r="M105" t="s">
        <v>91</v>
      </c>
      <c r="P105">
        <v>16.600000000000001</v>
      </c>
    </row>
    <row r="106" spans="13:20">
      <c r="M106" t="s">
        <v>92</v>
      </c>
      <c r="P106">
        <v>10.18</v>
      </c>
    </row>
    <row r="107" spans="13:20">
      <c r="M107" t="s">
        <v>94</v>
      </c>
      <c r="O107" t="s">
        <v>95</v>
      </c>
      <c r="P107" s="6">
        <v>6.141</v>
      </c>
    </row>
    <row r="108" spans="13:20">
      <c r="M108" t="s">
        <v>93</v>
      </c>
      <c r="O108" t="s">
        <v>96</v>
      </c>
      <c r="P108" s="11">
        <v>4439</v>
      </c>
    </row>
    <row r="110" spans="13:20">
      <c r="M110" t="s">
        <v>90</v>
      </c>
      <c r="P110" s="6">
        <v>1.9247507115997811</v>
      </c>
      <c r="S110" s="6">
        <f>SUM(Value!BM4:BM9)</f>
        <v>107261.85</v>
      </c>
      <c r="T110" t="s">
        <v>123</v>
      </c>
    </row>
    <row r="111" spans="13:20">
      <c r="M111" t="s">
        <v>89</v>
      </c>
      <c r="P111" s="6">
        <v>101.9406</v>
      </c>
      <c r="Q111" s="12">
        <v>-0.27890924524297944</v>
      </c>
      <c r="S111">
        <f>(1+P118)*SUM(Value!BM4:BM9)</f>
        <v>107256.29392348761</v>
      </c>
      <c r="T111" t="s">
        <v>122</v>
      </c>
    </row>
    <row r="112" spans="13:20">
      <c r="S112" s="6">
        <f>S110-S111</f>
        <v>5.5560765123955207</v>
      </c>
    </row>
    <row r="113" spans="13:23">
      <c r="S113" s="6"/>
    </row>
    <row r="115" spans="13:23">
      <c r="N115" s="34" t="s">
        <v>115</v>
      </c>
      <c r="O115" s="34"/>
      <c r="P115" s="34"/>
    </row>
    <row r="116" spans="13:23">
      <c r="N116" s="21" t="s">
        <v>111</v>
      </c>
      <c r="O116" s="21" t="s">
        <v>112</v>
      </c>
    </row>
    <row r="117" spans="13:23">
      <c r="M117" s="2" t="s">
        <v>110</v>
      </c>
      <c r="N117" s="16" t="s">
        <v>106</v>
      </c>
      <c r="O117" s="16" t="s">
        <v>106</v>
      </c>
      <c r="P117" s="18" t="s">
        <v>114</v>
      </c>
    </row>
    <row r="118" spans="13:23" ht="16">
      <c r="M118" s="9" t="s">
        <v>108</v>
      </c>
      <c r="N118" s="17">
        <v>0.10005179918593977</v>
      </c>
      <c r="O118" s="17">
        <v>0.1</v>
      </c>
      <c r="P118" s="19">
        <f>+O118-N118</f>
        <v>-5.1799185939768733E-5</v>
      </c>
      <c r="S118" t="s">
        <v>118</v>
      </c>
    </row>
    <row r="119" spans="13:23" ht="16">
      <c r="M119" s="9" t="s">
        <v>109</v>
      </c>
      <c r="N119" s="17">
        <v>9.9819881884200157E-2</v>
      </c>
      <c r="O119" s="17">
        <v>0.1</v>
      </c>
      <c r="P119" s="19">
        <f t="shared" ref="P119:P128" si="25">+O119-N119</f>
        <v>1.8011811579984882E-4</v>
      </c>
      <c r="S119" t="s">
        <v>117</v>
      </c>
      <c r="T119" s="6">
        <f>Value!BM6</f>
        <v>9743.58</v>
      </c>
    </row>
    <row r="120" spans="13:23">
      <c r="M120" t="s">
        <v>70</v>
      </c>
      <c r="N120" s="17">
        <v>0.11660991845648501</v>
      </c>
      <c r="O120" s="17">
        <v>0.11</v>
      </c>
      <c r="P120" s="19">
        <f t="shared" si="25"/>
        <v>-6.6099184564850089E-3</v>
      </c>
    </row>
    <row r="121" spans="13:23">
      <c r="M121" t="s">
        <v>71</v>
      </c>
      <c r="N121" s="17">
        <v>5.5631711929515201E-2</v>
      </c>
      <c r="O121" s="17">
        <v>6.5000000000000002E-2</v>
      </c>
      <c r="P121" s="19">
        <f t="shared" si="25"/>
        <v>9.3682880704848009E-3</v>
      </c>
    </row>
    <row r="122" spans="13:23">
      <c r="M122" t="s">
        <v>72</v>
      </c>
      <c r="N122" s="17">
        <v>0.1028586673408558</v>
      </c>
      <c r="O122" s="17">
        <v>0.1</v>
      </c>
      <c r="P122" s="19">
        <f t="shared" si="25"/>
        <v>-2.8586673408557972E-3</v>
      </c>
      <c r="S122" t="s">
        <v>119</v>
      </c>
      <c r="T122" s="6">
        <f>Prices!BM7</f>
        <v>1432.78</v>
      </c>
      <c r="U122" s="13">
        <f>3*Prices!BM7</f>
        <v>4298.34</v>
      </c>
      <c r="V122" s="2">
        <v>3</v>
      </c>
      <c r="W122" t="s">
        <v>127</v>
      </c>
    </row>
    <row r="123" spans="13:23">
      <c r="M123" t="s">
        <v>73</v>
      </c>
      <c r="N123" s="17">
        <v>0.11940814906076712</v>
      </c>
      <c r="O123" s="17">
        <v>0.11</v>
      </c>
      <c r="P123" s="19">
        <f t="shared" si="25"/>
        <v>-9.4081490607671181E-3</v>
      </c>
      <c r="S123" t="s">
        <v>120</v>
      </c>
      <c r="T123" s="6">
        <f>Prices!BM5</f>
        <v>78.22</v>
      </c>
      <c r="U123" s="13">
        <f>T123*40</f>
        <v>3128.8</v>
      </c>
      <c r="V123" s="2">
        <v>40</v>
      </c>
      <c r="W123" t="s">
        <v>127</v>
      </c>
    </row>
    <row r="124" spans="13:23">
      <c r="M124" t="s">
        <v>74</v>
      </c>
      <c r="N124" s="17">
        <v>5.8935686980687095E-2</v>
      </c>
      <c r="O124" s="17">
        <v>7.0000000000000007E-2</v>
      </c>
      <c r="P124" s="19">
        <f t="shared" si="25"/>
        <v>1.1064313019312912E-2</v>
      </c>
      <c r="S124" t="s">
        <v>121</v>
      </c>
      <c r="T124" s="6">
        <f>Prices!BM9</f>
        <v>58.48</v>
      </c>
      <c r="U124" s="13">
        <f>T124*39</f>
        <v>2280.7199999999998</v>
      </c>
      <c r="V124" s="2">
        <v>39</v>
      </c>
      <c r="W124" t="s">
        <v>127</v>
      </c>
    </row>
    <row r="125" spans="13:23" ht="16">
      <c r="M125" s="9" t="s">
        <v>113</v>
      </c>
      <c r="N125" s="17">
        <v>0.13858170187320487</v>
      </c>
      <c r="O125" s="17">
        <v>0.13</v>
      </c>
      <c r="P125" s="19">
        <f t="shared" si="25"/>
        <v>-8.5817018732048667E-3</v>
      </c>
      <c r="U125" s="6">
        <f>T119-SUM(U122:U124)</f>
        <v>35.719999999999345</v>
      </c>
      <c r="V125" s="2" t="s">
        <v>124</v>
      </c>
    </row>
    <row r="126" spans="13:23">
      <c r="M126" t="s">
        <v>75</v>
      </c>
      <c r="N126" s="17">
        <v>5.8526392073273148E-2</v>
      </c>
      <c r="O126" s="17">
        <v>6.5000000000000002E-2</v>
      </c>
      <c r="P126" s="19">
        <f t="shared" si="25"/>
        <v>6.4736079267268543E-3</v>
      </c>
      <c r="U126" s="6"/>
    </row>
    <row r="127" spans="13:23">
      <c r="M127" t="s">
        <v>76</v>
      </c>
      <c r="N127" s="17">
        <v>5.7352431411738257E-2</v>
      </c>
      <c r="O127" s="17">
        <v>0.06</v>
      </c>
      <c r="P127" s="19">
        <f t="shared" si="25"/>
        <v>2.6475685882617409E-3</v>
      </c>
      <c r="S127" s="6">
        <f>U125-S112</f>
        <v>30.163923487603824</v>
      </c>
      <c r="T127" s="2" t="s">
        <v>125</v>
      </c>
    </row>
    <row r="128" spans="13:23">
      <c r="M128" t="s">
        <v>77</v>
      </c>
      <c r="N128" s="17">
        <v>9.2220189858586502E-2</v>
      </c>
      <c r="O128" s="17">
        <v>0.09</v>
      </c>
      <c r="P128" s="20">
        <f t="shared" si="25"/>
        <v>-2.2201898585865049E-3</v>
      </c>
    </row>
  </sheetData>
  <mergeCells count="1">
    <mergeCell ref="N115:P115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CC310-54CF-324A-A5E9-2A629ACBA223}">
  <sheetPr codeName="Raw_Historical_Data"/>
  <dimension ref="A1"/>
  <sheetViews>
    <sheetView workbookViewId="0">
      <selection activeCell="K56" sqref="K55:K56"/>
    </sheetView>
  </sheetViews>
  <sheetFormatPr baseColWidth="10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28620-9732-2248-BF40-568E5E4EFD3A}">
  <sheetPr codeName="Ticker_Symbols"/>
  <dimension ref="A1:XFB54"/>
  <sheetViews>
    <sheetView workbookViewId="0">
      <selection activeCell="C7" sqref="C7"/>
    </sheetView>
  </sheetViews>
  <sheetFormatPr baseColWidth="10" defaultRowHeight="15"/>
  <cols>
    <col min="1" max="1" width="14.6640625" bestFit="1" customWidth="1"/>
  </cols>
  <sheetData>
    <row r="1" spans="1:1 16382:16382" s="2" customFormat="1">
      <c r="A1" s="2" t="s">
        <v>142</v>
      </c>
      <c r="XFB1" s="33">
        <v>44031</v>
      </c>
    </row>
    <row r="2" spans="1:1 16382:16382">
      <c r="A2" s="3" t="s">
        <v>84</v>
      </c>
    </row>
    <row r="3" spans="1:1 16382:16382">
      <c r="A3" s="3" t="s">
        <v>100</v>
      </c>
    </row>
    <row r="4" spans="1:1 16382:16382">
      <c r="A4" s="3" t="s">
        <v>98</v>
      </c>
    </row>
    <row r="5" spans="1:1 16382:16382">
      <c r="A5" s="3" t="s">
        <v>102</v>
      </c>
    </row>
    <row r="6" spans="1:1 16382:16382">
      <c r="A6" s="3" t="s">
        <v>105</v>
      </c>
    </row>
    <row r="7" spans="1:1 16382:16382">
      <c r="A7" s="3" t="s">
        <v>6</v>
      </c>
    </row>
    <row r="8" spans="1:1 16382:16382">
      <c r="A8" s="3" t="s">
        <v>207</v>
      </c>
    </row>
    <row r="9" spans="1:1 16382:16382">
      <c r="A9" s="3" t="s">
        <v>208</v>
      </c>
    </row>
    <row r="10" spans="1:1 16382:16382">
      <c r="A10" s="3" t="s">
        <v>209</v>
      </c>
    </row>
    <row r="11" spans="1:1 16382:16382">
      <c r="A11" s="3" t="s">
        <v>210</v>
      </c>
    </row>
    <row r="12" spans="1:1 16382:16382">
      <c r="A12" s="3" t="s">
        <v>211</v>
      </c>
    </row>
    <row r="13" spans="1:1 16382:16382">
      <c r="A13" s="3" t="s">
        <v>212</v>
      </c>
    </row>
    <row r="14" spans="1:1 16382:16382">
      <c r="A14" s="3" t="s">
        <v>213</v>
      </c>
    </row>
    <row r="15" spans="1:1 16382:16382">
      <c r="A15" s="3" t="s">
        <v>214</v>
      </c>
    </row>
    <row r="16" spans="1:1 16382:16382">
      <c r="A16" s="3" t="s">
        <v>215</v>
      </c>
    </row>
    <row r="17" spans="1:1">
      <c r="A17" s="3" t="s">
        <v>216</v>
      </c>
    </row>
    <row r="18" spans="1:1">
      <c r="A18" s="3" t="s">
        <v>217</v>
      </c>
    </row>
    <row r="19" spans="1:1">
      <c r="A19" s="3" t="s">
        <v>206</v>
      </c>
    </row>
    <row r="20" spans="1:1">
      <c r="A20" s="3" t="s">
        <v>22</v>
      </c>
    </row>
    <row r="21" spans="1:1">
      <c r="A21" s="3" t="s">
        <v>23</v>
      </c>
    </row>
    <row r="22" spans="1:1">
      <c r="A22" s="3" t="s">
        <v>25</v>
      </c>
    </row>
    <row r="23" spans="1:1">
      <c r="A23" s="3" t="s">
        <v>26</v>
      </c>
    </row>
    <row r="24" spans="1:1">
      <c r="A24" s="3" t="s">
        <v>27</v>
      </c>
    </row>
    <row r="25" spans="1:1">
      <c r="A25" s="3" t="s">
        <v>28</v>
      </c>
    </row>
    <row r="26" spans="1:1">
      <c r="A26" s="3" t="s">
        <v>29</v>
      </c>
    </row>
    <row r="27" spans="1:1">
      <c r="A27" s="3" t="s">
        <v>31</v>
      </c>
    </row>
    <row r="28" spans="1:1">
      <c r="A28" s="3" t="s">
        <v>32</v>
      </c>
    </row>
    <row r="29" spans="1:1">
      <c r="A29" s="3" t="s">
        <v>33</v>
      </c>
    </row>
    <row r="30" spans="1:1">
      <c r="A30" s="3" t="s">
        <v>34</v>
      </c>
    </row>
    <row r="31" spans="1:1">
      <c r="A31" s="3" t="s">
        <v>35</v>
      </c>
    </row>
    <row r="32" spans="1:1">
      <c r="A32" s="3" t="s">
        <v>36</v>
      </c>
    </row>
    <row r="33" spans="1:1">
      <c r="A33" s="3" t="s">
        <v>37</v>
      </c>
    </row>
    <row r="34" spans="1:1">
      <c r="A34" s="3" t="s">
        <v>218</v>
      </c>
    </row>
    <row r="35" spans="1:1">
      <c r="A35" s="3" t="s">
        <v>219</v>
      </c>
    </row>
    <row r="36" spans="1:1">
      <c r="A36" s="3" t="s">
        <v>220</v>
      </c>
    </row>
    <row r="37" spans="1:1">
      <c r="A37" s="3" t="s">
        <v>221</v>
      </c>
    </row>
    <row r="38" spans="1:1">
      <c r="A38" s="3" t="s">
        <v>43</v>
      </c>
    </row>
    <row r="39" spans="1:1">
      <c r="A39" s="3" t="s">
        <v>45</v>
      </c>
    </row>
    <row r="40" spans="1:1">
      <c r="A40" s="3" t="s">
        <v>46</v>
      </c>
    </row>
    <row r="41" spans="1:1">
      <c r="A41" s="3" t="s">
        <v>47</v>
      </c>
    </row>
    <row r="42" spans="1:1">
      <c r="A42" s="3" t="s">
        <v>48</v>
      </c>
    </row>
    <row r="43" spans="1:1">
      <c r="A43" s="3" t="s">
        <v>50</v>
      </c>
    </row>
    <row r="44" spans="1:1">
      <c r="A44" s="3" t="s">
        <v>51</v>
      </c>
    </row>
    <row r="45" spans="1:1">
      <c r="A45" s="3" t="s">
        <v>52</v>
      </c>
    </row>
    <row r="46" spans="1:1">
      <c r="A46" s="3" t="s">
        <v>54</v>
      </c>
    </row>
    <row r="47" spans="1:1">
      <c r="A47" s="3" t="s">
        <v>55</v>
      </c>
    </row>
    <row r="48" spans="1:1">
      <c r="A48" s="3" t="s">
        <v>56</v>
      </c>
    </row>
    <row r="49" spans="1:1">
      <c r="A49" s="3" t="s">
        <v>57</v>
      </c>
    </row>
    <row r="50" spans="1:1">
      <c r="A50" s="3" t="s">
        <v>58</v>
      </c>
    </row>
    <row r="51" spans="1:1">
      <c r="A51" s="3" t="s">
        <v>59</v>
      </c>
    </row>
    <row r="52" spans="1:1">
      <c r="A52" s="3" t="s">
        <v>222</v>
      </c>
    </row>
    <row r="53" spans="1:1">
      <c r="A53" s="3" t="s">
        <v>223</v>
      </c>
    </row>
    <row r="54" spans="1:1">
      <c r="A54" s="3" t="s">
        <v>224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84FF-51A4-6F4E-BF07-FDDA77F1E358}">
  <sheetPr codeName="Quote_Sort"/>
  <dimension ref="A1:C64"/>
  <sheetViews>
    <sheetView workbookViewId="0">
      <selection activeCell="C43" sqref="C43"/>
    </sheetView>
  </sheetViews>
  <sheetFormatPr baseColWidth="10" defaultRowHeight="15"/>
  <cols>
    <col min="1" max="2" width="23.33203125" bestFit="1" customWidth="1"/>
  </cols>
  <sheetData>
    <row r="1" spans="1:3">
      <c r="A1" s="2" t="s">
        <v>0</v>
      </c>
      <c r="B1" s="2" t="s">
        <v>0</v>
      </c>
      <c r="C1" s="3" t="s">
        <v>128</v>
      </c>
    </row>
    <row r="2" spans="1:3">
      <c r="A2" s="3" t="s">
        <v>128</v>
      </c>
      <c r="B2" s="3" t="s">
        <v>1</v>
      </c>
      <c r="C2" s="3" t="s">
        <v>120</v>
      </c>
    </row>
    <row r="3" spans="1:3">
      <c r="A3" s="3" t="s">
        <v>120</v>
      </c>
      <c r="B3" s="3" t="s">
        <v>2</v>
      </c>
      <c r="C3" s="3" t="s">
        <v>129</v>
      </c>
    </row>
    <row r="4" spans="1:3">
      <c r="A4" s="3" t="s">
        <v>129</v>
      </c>
      <c r="B4" s="3" t="s">
        <v>3</v>
      </c>
      <c r="C4" s="3" t="s">
        <v>119</v>
      </c>
    </row>
    <row r="5" spans="1:3">
      <c r="A5" s="3" t="s">
        <v>119</v>
      </c>
      <c r="B5" s="3" t="s">
        <v>4</v>
      </c>
      <c r="C5" s="3" t="s">
        <v>130</v>
      </c>
    </row>
    <row r="6" spans="1:3">
      <c r="A6" s="3" t="s">
        <v>130</v>
      </c>
      <c r="B6" s="3" t="s">
        <v>5</v>
      </c>
      <c r="C6" s="3" t="s">
        <v>121</v>
      </c>
    </row>
    <row r="7" spans="1:3">
      <c r="A7" s="3" t="s">
        <v>121</v>
      </c>
      <c r="B7" s="3" t="s">
        <v>6</v>
      </c>
      <c r="C7" s="3" t="s">
        <v>143</v>
      </c>
    </row>
    <row r="8" spans="1:3">
      <c r="A8" s="2" t="s">
        <v>7</v>
      </c>
      <c r="B8" s="2" t="s">
        <v>7</v>
      </c>
      <c r="C8" s="3" t="s">
        <v>144</v>
      </c>
    </row>
    <row r="9" spans="1:3">
      <c r="A9" s="3" t="s">
        <v>143</v>
      </c>
      <c r="B9" s="3" t="s">
        <v>8</v>
      </c>
      <c r="C9" s="3" t="s">
        <v>145</v>
      </c>
    </row>
    <row r="10" spans="1:3">
      <c r="A10" s="3" t="s">
        <v>144</v>
      </c>
      <c r="B10" s="3" t="s">
        <v>9</v>
      </c>
      <c r="C10" s="3" t="s">
        <v>146</v>
      </c>
    </row>
    <row r="11" spans="1:3">
      <c r="A11" s="3" t="s">
        <v>145</v>
      </c>
      <c r="B11" s="3" t="s">
        <v>10</v>
      </c>
      <c r="C11" s="3" t="s">
        <v>147</v>
      </c>
    </row>
    <row r="12" spans="1:3">
      <c r="A12" s="3" t="s">
        <v>146</v>
      </c>
      <c r="B12" s="3" t="s">
        <v>11</v>
      </c>
      <c r="C12" s="3" t="s">
        <v>148</v>
      </c>
    </row>
    <row r="13" spans="1:3">
      <c r="A13" s="3" t="s">
        <v>147</v>
      </c>
      <c r="B13" s="3" t="s">
        <v>12</v>
      </c>
      <c r="C13" s="3" t="s">
        <v>149</v>
      </c>
    </row>
    <row r="14" spans="1:3">
      <c r="A14" s="3" t="s">
        <v>148</v>
      </c>
      <c r="B14" s="3" t="s">
        <v>13</v>
      </c>
      <c r="C14" s="3" t="s">
        <v>150</v>
      </c>
    </row>
    <row r="15" spans="1:3">
      <c r="A15" s="2" t="s">
        <v>14</v>
      </c>
      <c r="B15" s="2" t="s">
        <v>14</v>
      </c>
      <c r="C15" s="3" t="s">
        <v>151</v>
      </c>
    </row>
    <row r="16" spans="1:3">
      <c r="A16" s="3" t="s">
        <v>149</v>
      </c>
      <c r="B16" s="3" t="s">
        <v>15</v>
      </c>
      <c r="C16" s="3" t="s">
        <v>152</v>
      </c>
    </row>
    <row r="17" spans="1:3">
      <c r="A17" s="3" t="s">
        <v>150</v>
      </c>
      <c r="B17" s="3" t="s">
        <v>16</v>
      </c>
      <c r="C17" s="3" t="s">
        <v>153</v>
      </c>
    </row>
    <row r="18" spans="1:3">
      <c r="A18" s="3" t="s">
        <v>151</v>
      </c>
      <c r="B18" s="3" t="s">
        <v>17</v>
      </c>
      <c r="C18" s="3" t="s">
        <v>154</v>
      </c>
    </row>
    <row r="19" spans="1:3">
      <c r="A19" s="3" t="s">
        <v>152</v>
      </c>
      <c r="B19" s="3" t="s">
        <v>18</v>
      </c>
      <c r="C19" s="3" t="s">
        <v>155</v>
      </c>
    </row>
    <row r="20" spans="1:3">
      <c r="A20" s="3" t="s">
        <v>153</v>
      </c>
      <c r="B20" s="3" t="s">
        <v>19</v>
      </c>
      <c r="C20" s="3" t="s">
        <v>156</v>
      </c>
    </row>
    <row r="21" spans="1:3">
      <c r="A21" s="2" t="s">
        <v>20</v>
      </c>
      <c r="B21" s="2" t="s">
        <v>20</v>
      </c>
      <c r="C21" s="3" t="s">
        <v>157</v>
      </c>
    </row>
    <row r="22" spans="1:3">
      <c r="A22" s="3" t="s">
        <v>154</v>
      </c>
      <c r="B22" s="3" t="s">
        <v>21</v>
      </c>
      <c r="C22" s="3" t="s">
        <v>158</v>
      </c>
    </row>
    <row r="23" spans="1:3">
      <c r="A23" s="3" t="s">
        <v>155</v>
      </c>
      <c r="B23" s="3" t="s">
        <v>22</v>
      </c>
      <c r="C23" s="3" t="s">
        <v>188</v>
      </c>
    </row>
    <row r="24" spans="1:3">
      <c r="A24" s="3" t="s">
        <v>156</v>
      </c>
      <c r="B24" s="3" t="s">
        <v>23</v>
      </c>
      <c r="C24" s="3" t="s">
        <v>159</v>
      </c>
    </row>
    <row r="25" spans="1:3">
      <c r="A25" s="2" t="s">
        <v>24</v>
      </c>
      <c r="B25" s="2" t="s">
        <v>24</v>
      </c>
      <c r="C25" s="3" t="s">
        <v>160</v>
      </c>
    </row>
    <row r="26" spans="1:3">
      <c r="A26" s="3" t="s">
        <v>157</v>
      </c>
      <c r="B26" s="3" t="s">
        <v>25</v>
      </c>
      <c r="C26" s="3" t="s">
        <v>161</v>
      </c>
    </row>
    <row r="27" spans="1:3">
      <c r="A27" s="3" t="s">
        <v>158</v>
      </c>
      <c r="B27" s="3" t="s">
        <v>26</v>
      </c>
      <c r="C27" s="3" t="s">
        <v>162</v>
      </c>
    </row>
    <row r="28" spans="1:3">
      <c r="A28" s="3" t="s">
        <v>188</v>
      </c>
      <c r="B28" s="3" t="s">
        <v>27</v>
      </c>
      <c r="C28" s="3" t="s">
        <v>163</v>
      </c>
    </row>
    <row r="29" spans="1:3">
      <c r="A29" s="3" t="s">
        <v>159</v>
      </c>
      <c r="B29" s="3" t="s">
        <v>28</v>
      </c>
      <c r="C29" s="3" t="s">
        <v>164</v>
      </c>
    </row>
    <row r="30" spans="1:3">
      <c r="A30" s="3" t="s">
        <v>160</v>
      </c>
      <c r="B30" s="3" t="s">
        <v>29</v>
      </c>
      <c r="C30" s="3" t="s">
        <v>165</v>
      </c>
    </row>
    <row r="31" spans="1:3">
      <c r="A31" s="2" t="s">
        <v>30</v>
      </c>
      <c r="B31" s="2" t="s">
        <v>30</v>
      </c>
      <c r="C31" s="3" t="s">
        <v>166</v>
      </c>
    </row>
    <row r="32" spans="1:3">
      <c r="A32" s="3" t="s">
        <v>161</v>
      </c>
      <c r="B32" s="3" t="s">
        <v>31</v>
      </c>
      <c r="C32" s="3" t="s">
        <v>167</v>
      </c>
    </row>
    <row r="33" spans="1:3">
      <c r="A33" s="3" t="s">
        <v>162</v>
      </c>
      <c r="B33" s="3" t="s">
        <v>32</v>
      </c>
      <c r="C33" s="3" t="s">
        <v>168</v>
      </c>
    </row>
    <row r="34" spans="1:3">
      <c r="A34" s="3" t="s">
        <v>163</v>
      </c>
      <c r="B34" s="3" t="s">
        <v>33</v>
      </c>
      <c r="C34" s="3" t="s">
        <v>169</v>
      </c>
    </row>
    <row r="35" spans="1:3">
      <c r="A35" s="3" t="s">
        <v>164</v>
      </c>
      <c r="B35" s="3" t="s">
        <v>34</v>
      </c>
      <c r="C35" s="3" t="s">
        <v>170</v>
      </c>
    </row>
    <row r="36" spans="1:3">
      <c r="A36" s="3" t="s">
        <v>165</v>
      </c>
      <c r="B36" s="3" t="s">
        <v>35</v>
      </c>
      <c r="C36" s="3" t="s">
        <v>171</v>
      </c>
    </row>
    <row r="37" spans="1:3">
      <c r="A37" s="3" t="s">
        <v>166</v>
      </c>
      <c r="B37" s="3" t="s">
        <v>36</v>
      </c>
      <c r="C37" s="3" t="s">
        <v>172</v>
      </c>
    </row>
    <row r="38" spans="1:3">
      <c r="A38" s="3" t="s">
        <v>167</v>
      </c>
      <c r="B38" s="3" t="s">
        <v>37</v>
      </c>
      <c r="C38" s="3" t="s">
        <v>173</v>
      </c>
    </row>
    <row r="39" spans="1:3">
      <c r="A39" s="2" t="s">
        <v>38</v>
      </c>
      <c r="B39" s="2" t="s">
        <v>38</v>
      </c>
      <c r="C39" s="3" t="s">
        <v>174</v>
      </c>
    </row>
    <row r="40" spans="1:3">
      <c r="A40" s="3" t="s">
        <v>168</v>
      </c>
      <c r="B40" s="3" t="s">
        <v>39</v>
      </c>
      <c r="C40" s="3" t="s">
        <v>175</v>
      </c>
    </row>
    <row r="41" spans="1:3">
      <c r="A41" s="3" t="s">
        <v>169</v>
      </c>
      <c r="B41" s="3" t="s">
        <v>40</v>
      </c>
      <c r="C41" s="3" t="s">
        <v>176</v>
      </c>
    </row>
    <row r="42" spans="1:3">
      <c r="A42" s="3" t="s">
        <v>170</v>
      </c>
      <c r="B42" s="3" t="s">
        <v>41</v>
      </c>
      <c r="C42" s="3" t="s">
        <v>189</v>
      </c>
    </row>
    <row r="43" spans="1:3">
      <c r="A43" s="3" t="s">
        <v>171</v>
      </c>
      <c r="B43" s="3" t="s">
        <v>42</v>
      </c>
      <c r="C43" s="3" t="s">
        <v>177</v>
      </c>
    </row>
    <row r="44" spans="1:3">
      <c r="A44" s="3" t="s">
        <v>172</v>
      </c>
      <c r="B44" s="3" t="s">
        <v>43</v>
      </c>
      <c r="C44" s="3" t="s">
        <v>178</v>
      </c>
    </row>
    <row r="45" spans="1:3">
      <c r="A45" s="2" t="s">
        <v>44</v>
      </c>
      <c r="B45" s="2" t="s">
        <v>44</v>
      </c>
      <c r="C45" s="3" t="s">
        <v>179</v>
      </c>
    </row>
    <row r="46" spans="1:3">
      <c r="A46" s="3" t="s">
        <v>173</v>
      </c>
      <c r="B46" s="3" t="s">
        <v>45</v>
      </c>
      <c r="C46" s="3" t="s">
        <v>180</v>
      </c>
    </row>
    <row r="47" spans="1:3">
      <c r="A47" s="3" t="s">
        <v>174</v>
      </c>
      <c r="B47" s="3" t="s">
        <v>46</v>
      </c>
      <c r="C47" s="3" t="s">
        <v>181</v>
      </c>
    </row>
    <row r="48" spans="1:3">
      <c r="A48" s="3" t="s">
        <v>175</v>
      </c>
      <c r="B48" s="3" t="s">
        <v>47</v>
      </c>
      <c r="C48" s="3" t="s">
        <v>182</v>
      </c>
    </row>
    <row r="49" spans="1:3">
      <c r="A49" s="3" t="s">
        <v>176</v>
      </c>
      <c r="B49" s="3" t="s">
        <v>48</v>
      </c>
      <c r="C49" s="3" t="s">
        <v>183</v>
      </c>
    </row>
    <row r="50" spans="1:3">
      <c r="A50" s="2" t="s">
        <v>49</v>
      </c>
      <c r="B50" s="2" t="s">
        <v>49</v>
      </c>
      <c r="C50" s="3" t="s">
        <v>184</v>
      </c>
    </row>
    <row r="51" spans="1:3">
      <c r="A51" s="3" t="s">
        <v>189</v>
      </c>
      <c r="B51" s="3" t="s">
        <v>50</v>
      </c>
      <c r="C51" s="3" t="s">
        <v>185</v>
      </c>
    </row>
    <row r="52" spans="1:3">
      <c r="A52" s="3" t="s">
        <v>177</v>
      </c>
      <c r="B52" s="3" t="s">
        <v>51</v>
      </c>
      <c r="C52" s="3" t="s">
        <v>186</v>
      </c>
    </row>
    <row r="53" spans="1:3">
      <c r="A53" s="3" t="s">
        <v>178</v>
      </c>
      <c r="B53" s="3" t="s">
        <v>52</v>
      </c>
      <c r="C53" s="3" t="s">
        <v>187</v>
      </c>
    </row>
    <row r="54" spans="1:3">
      <c r="A54" s="2" t="s">
        <v>53</v>
      </c>
      <c r="B54" s="2" t="s">
        <v>53</v>
      </c>
    </row>
    <row r="55" spans="1:3">
      <c r="A55" s="3" t="s">
        <v>179</v>
      </c>
      <c r="B55" s="3" t="s">
        <v>54</v>
      </c>
    </row>
    <row r="56" spans="1:3">
      <c r="A56" s="3" t="s">
        <v>180</v>
      </c>
      <c r="B56" s="3" t="s">
        <v>55</v>
      </c>
    </row>
    <row r="57" spans="1:3">
      <c r="A57" s="3" t="s">
        <v>181</v>
      </c>
      <c r="B57" s="3" t="s">
        <v>56</v>
      </c>
    </row>
    <row r="58" spans="1:3">
      <c r="A58" s="3" t="s">
        <v>182</v>
      </c>
      <c r="B58" s="3" t="s">
        <v>57</v>
      </c>
    </row>
    <row r="59" spans="1:3">
      <c r="A59" s="3" t="s">
        <v>183</v>
      </c>
      <c r="B59" s="3" t="s">
        <v>58</v>
      </c>
    </row>
    <row r="60" spans="1:3">
      <c r="A60" s="3" t="s">
        <v>184</v>
      </c>
      <c r="B60" s="3" t="s">
        <v>59</v>
      </c>
    </row>
    <row r="61" spans="1:3">
      <c r="A61" s="2" t="s">
        <v>60</v>
      </c>
      <c r="B61" s="2" t="s">
        <v>60</v>
      </c>
    </row>
    <row r="62" spans="1:3">
      <c r="A62" s="3" t="s">
        <v>185</v>
      </c>
      <c r="B62" s="3" t="s">
        <v>61</v>
      </c>
    </row>
    <row r="63" spans="1:3">
      <c r="A63" s="3" t="s">
        <v>186</v>
      </c>
      <c r="B63" s="3" t="s">
        <v>62</v>
      </c>
    </row>
    <row r="64" spans="1:3">
      <c r="A64" s="3" t="s">
        <v>187</v>
      </c>
      <c r="B64" s="3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Main_Page</vt:lpstr>
      <vt:lpstr>Statistics</vt:lpstr>
      <vt:lpstr>Value</vt:lpstr>
      <vt:lpstr>Prices</vt:lpstr>
      <vt:lpstr>Weight</vt:lpstr>
      <vt:lpstr>Valuation</vt:lpstr>
      <vt:lpstr>Communication Services</vt:lpstr>
      <vt:lpstr>Raw_Historical_Data</vt:lpstr>
      <vt:lpstr>Ticker_Symbols</vt:lpstr>
      <vt:lpstr>Quote_Sort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Microsoft Office User</cp:lastModifiedBy>
  <dcterms:created xsi:type="dcterms:W3CDTF">2020-01-29T01:47:06Z</dcterms:created>
  <dcterms:modified xsi:type="dcterms:W3CDTF">2020-07-19T22:50:22Z</dcterms:modified>
</cp:coreProperties>
</file>